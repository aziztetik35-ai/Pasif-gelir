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 Checkout" sheetId="3" state="visible" r:id="rId3"/>
    <sheet xmlns:r="http://schemas.openxmlformats.org/officeDocument/2006/relationships" name="DO Checkout" sheetId="4" state="visible" r:id="rId4"/>
    <sheet xmlns:r="http://schemas.openxmlformats.org/officeDocument/2006/relationships" name="AI Loop Check" sheetId="5" state="visible" r:id="rId5"/>
    <sheet xmlns:r="http://schemas.openxmlformats.org/officeDocument/2006/relationships" name="AO Loop Check" sheetId="6" state="visible" r:id="rId6"/>
    <sheet xmlns:r="http://schemas.openxmlformats.org/officeDocument/2006/relationships" name="FAT Protocol" sheetId="7" state="visible" r:id="rId7"/>
    <sheet xmlns:r="http://schemas.openxmlformats.org/officeDocument/2006/relationships" name="SAT Protocol" sheetId="8" state="visible" r:id="rId8"/>
    <sheet xmlns:r="http://schemas.openxmlformats.org/officeDocument/2006/relationships" name="Punch List" sheetId="9" state="visible" r:id="rId9"/>
    <sheet xmlns:r="http://schemas.openxmlformats.org/officeDocument/2006/relationships" name="Sign-off" sheetId="10" state="visible" r:id="rId10"/>
  </sheets>
  <definedNames>
    <definedName name="_xlnm.Print_Titles" localSheetId="1">'Summary'!$4:$4</definedName>
    <definedName name="_xlnm.Print_Area" localSheetId="1">'Summary'!$A$1:$G$12</definedName>
    <definedName name="_xlnm._FilterDatabase" localSheetId="2" hidden="1">'DI Checkout'!$A$4:$L$24</definedName>
    <definedName name="_xlnm.Print_Titles" localSheetId="2">'DI Checkout'!$4:$4</definedName>
    <definedName name="_xlnm.Print_Area" localSheetId="2">'DI Checkout'!$A$1:$L$24</definedName>
    <definedName name="_xlnm._FilterDatabase" localSheetId="3" hidden="1">'DO Checkout'!$A$4:$L$13</definedName>
    <definedName name="_xlnm.Print_Titles" localSheetId="3">'DO Checkout'!$4:$4</definedName>
    <definedName name="_xlnm.Print_Area" localSheetId="3">'DO Checkout'!$A$1:$L$13</definedName>
    <definedName name="_xlnm._FilterDatabase" localSheetId="4" hidden="1">'AI Loop Check'!$A$4:$S$24</definedName>
    <definedName name="_xlnm.Print_Titles" localSheetId="4">'AI Loop Check'!$4:$4</definedName>
    <definedName name="_xlnm.Print_Area" localSheetId="4">'AI Loop Check'!$A$1:$S$24</definedName>
    <definedName name="_xlnm._FilterDatabase" localSheetId="5" hidden="1">'AO Loop Check'!$A$4:$S$14</definedName>
    <definedName name="_xlnm.Print_Titles" localSheetId="5">'AO Loop Check'!$4:$4</definedName>
    <definedName name="_xlnm.Print_Area" localSheetId="5">'AO Loop Check'!$A$1:$S$14</definedName>
    <definedName name="_xlnm.Print_Titles" localSheetId="6">'FAT Protocol'!$4:$4</definedName>
    <definedName name="_xlnm.Print_Area" localSheetId="6">'FAT Protocol'!$A$1:$H$30</definedName>
    <definedName name="_xlnm.Print_Titles" localSheetId="7">'SAT Protocol'!$4:$4</definedName>
    <definedName name="_xlnm.Print_Area" localSheetId="7">'SAT Protocol'!$A$1:$H$24</definedName>
    <definedName name="_xlnm.Print_Titles" localSheetId="8">'Punch List'!$4:$4</definedName>
    <definedName name="_xlnm.Print_Area" localSheetId="8">'Punch List'!$A$1:$J$65</definedName>
    <definedName name="_xlnm.Print_Titles" localSheetId="9">'Sign-off'!$4:$4</definedName>
    <definedName name="_xlnm.Print_Area" localSheetId="9">'Sign-off'!$A$1:$E$20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9"/>
    </font>
    <font>
      <b val="1"/>
      <color rgb="00FFFFFF"/>
    </font>
    <font>
      <b val="1"/>
    </font>
    <font>
      <b val="1"/>
      <color rgb="001F3864"/>
      <sz val="2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9DB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medium">
        <color rgb="001F3864"/>
      </top>
      <bottom style="thin">
        <color rgb="00A6A6A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0" borderId="0" pivotButton="0" quotePrefix="0" xfId="0"/>
    <xf numFmtId="0" fontId="4" fillId="5" borderId="1" pivotButton="0" quotePrefix="0" xfId="0"/>
    <xf numFmtId="0" fontId="0" fillId="0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9" fontId="0" fillId="0" borderId="1" pivotButton="0" quotePrefix="0" xfId="0"/>
    <xf numFmtId="9" fontId="0" fillId="5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9" fontId="0" fillId="0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  <xf numFmtId="2" fontId="0" fillId="4" borderId="2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4" customHeight="1">
      <c r="A1" s="1" t="inlineStr">
        <is>
          <t>Commissioning Document Package</t>
        </is>
      </c>
    </row>
    <row r="3">
      <c r="A3" s="2" t="inlineStr">
        <is>
          <t>Project</t>
        </is>
      </c>
      <c r="B3" s="3" t="inlineStr">
        <is>
          <t>Packaging Line 3</t>
        </is>
      </c>
    </row>
    <row r="4">
      <c r="A4" s="2" t="inlineStr">
        <is>
          <t>Customer</t>
        </is>
      </c>
      <c r="B4" s="3" t="inlineStr">
        <is>
          <t>Sample Customer</t>
        </is>
      </c>
    </row>
    <row r="5">
      <c r="A5" s="2" t="inlineStr">
        <is>
          <t>Machine / Line</t>
        </is>
      </c>
      <c r="B5" s="3" t="inlineStr">
        <is>
          <t>Infeed conveyor + hydraulic press</t>
        </is>
      </c>
    </row>
    <row r="6">
      <c r="A6" s="2" t="inlineStr">
        <is>
          <t>PLC / Controller</t>
        </is>
      </c>
      <c r="B6" s="3" t="inlineStr">
        <is>
          <t>S7-1516F / TIA Portal V19</t>
        </is>
      </c>
    </row>
    <row r="7">
      <c r="A7" s="2" t="inlineStr">
        <is>
          <t>Document No.</t>
        </is>
      </c>
      <c r="B7" s="3" t="inlineStr">
        <is>
          <t>CP-0001</t>
        </is>
      </c>
    </row>
    <row r="8">
      <c r="A8" s="2" t="inlineStr">
        <is>
          <t>Revision</t>
        </is>
      </c>
      <c r="B8" s="3" t="inlineStr">
        <is>
          <t>0</t>
        </is>
      </c>
    </row>
    <row r="9">
      <c r="A9" s="2" t="inlineStr">
        <is>
          <t>Date</t>
        </is>
      </c>
      <c r="B9" s="3" t="inlineStr">
        <is>
          <t>2026-10-08</t>
        </is>
      </c>
    </row>
    <row r="10">
      <c r="A10" s="2" t="inlineStr">
        <is>
          <t>Prepared by</t>
        </is>
      </c>
      <c r="B10" s="3" t="inlineStr">
        <is>
          <t>CommissionPack demo</t>
        </is>
      </c>
    </row>
    <row r="11">
      <c r="A11" s="2" t="inlineStr">
        <is>
          <t>Source IO list</t>
        </is>
      </c>
      <c r="B11" s="3" t="inlineStr">
        <is>
          <t>tia_plc_tags_sample.xlsx</t>
        </is>
      </c>
    </row>
    <row r="13">
      <c r="A13" s="4" t="inlineStr">
        <is>
          <t>Contents</t>
        </is>
      </c>
    </row>
    <row r="14">
      <c r="A14" s="3" t="inlineStr">
        <is>
          <t>DI Checkout</t>
        </is>
      </c>
      <c r="B14" s="3" t="inlineStr">
        <is>
          <t>20 IO points</t>
        </is>
      </c>
    </row>
    <row r="15">
      <c r="A15" s="3" t="inlineStr">
        <is>
          <t>DO Checkout</t>
        </is>
      </c>
      <c r="B15" s="3" t="inlineStr">
        <is>
          <t>9 IO points</t>
        </is>
      </c>
    </row>
    <row r="16">
      <c r="A16" s="3" t="inlineStr">
        <is>
          <t>AI Loop Check</t>
        </is>
      </c>
      <c r="B16" s="3" t="inlineStr">
        <is>
          <t>4 IO points</t>
        </is>
      </c>
    </row>
    <row r="17">
      <c r="A17" s="3" t="inlineStr">
        <is>
          <t>AO Loop Check</t>
        </is>
      </c>
      <c r="B17" s="3" t="inlineStr">
        <is>
          <t>2 IO points</t>
        </is>
      </c>
    </row>
    <row r="18">
      <c r="A18" s="3" t="inlineStr">
        <is>
          <t>FAT Protocol</t>
        </is>
      </c>
      <c r="B18" s="3" t="n"/>
    </row>
    <row r="19">
      <c r="A19" s="3" t="inlineStr">
        <is>
          <t>SAT Protocol</t>
        </is>
      </c>
      <c r="B19" s="3" t="n"/>
    </row>
    <row r="20">
      <c r="A20" s="3" t="inlineStr">
        <is>
          <t>Punch List</t>
        </is>
      </c>
      <c r="B20" s="3" t="n"/>
    </row>
    <row r="21">
      <c r="A21" s="3" t="inlineStr">
        <is>
          <t>Sign-off</t>
        </is>
      </c>
      <c r="B21" s="3" t="n"/>
    </row>
    <row r="22">
      <c r="A22" s="3" t="inlineStr">
        <is>
          <t>Summary</t>
        </is>
      </c>
      <c r="B22" s="3" t="n"/>
    </row>
    <row r="24">
      <c r="A24" s="5" t="inlineStr">
        <is>
          <t>Safety-related IO points (marked red)</t>
        </is>
      </c>
      <c r="B24" s="6" t="n">
        <v>4</v>
      </c>
    </row>
    <row r="26" ht="45" customHeight="1">
      <c r="A26" s="7" t="inlineStr">
        <is>
          <t>This package is a working document. The responsible engineer must check it against the approved drawings, the functional description and the safety validation plan.</t>
        </is>
      </c>
    </row>
    <row r="28">
      <c r="A28" s="8" t="inlineStr">
        <is>
          <t>CommissionPack 0.1.0 - 2026-10-08 12:53</t>
        </is>
      </c>
    </row>
  </sheetData>
  <mergeCells count="1">
    <mergeCell ref="A26:B26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4" t="inlineStr">
        <is>
          <t>Summary - Packaging Line 3</t>
        </is>
      </c>
    </row>
    <row r="2">
      <c r="A2" s="8" t="inlineStr">
        <is>
          <t>Customer: Sample Customer   |   Machine / Line: Infeed conveyor + hydraulic press   |   Document No.: CP-0001   |   Revision: 0</t>
        </is>
      </c>
    </row>
    <row r="4" ht="32" customHeight="1">
      <c r="A4" s="9" t="inlineStr">
        <is>
          <t>Section</t>
        </is>
      </c>
      <c r="B4" s="9" t="inlineStr">
        <is>
          <t>Total</t>
        </is>
      </c>
      <c r="C4" s="9" t="inlineStr">
        <is>
          <t>OK</t>
        </is>
      </c>
      <c r="D4" s="9" t="inlineStr">
        <is>
          <t>NOK</t>
        </is>
      </c>
      <c r="E4" s="9" t="inlineStr">
        <is>
          <t>N/A</t>
        </is>
      </c>
      <c r="F4" s="9" t="inlineStr">
        <is>
          <t>Open</t>
        </is>
      </c>
      <c r="G4" s="9" t="inlineStr">
        <is>
          <t>Complete</t>
        </is>
      </c>
    </row>
    <row r="5">
      <c r="A5" s="3" t="inlineStr">
        <is>
          <t>Digital input checkout</t>
        </is>
      </c>
      <c r="B5" s="3">
        <f>COUNTA('DI Checkout'!B5:B24)</f>
        <v/>
      </c>
      <c r="C5" s="3">
        <f>COUNTIF('DI Checkout'!I5:I24,"OK")</f>
        <v/>
      </c>
      <c r="D5" s="3">
        <f>COUNTIF('DI Checkout'!I5:I24,"NOK")</f>
        <v/>
      </c>
      <c r="E5" s="3">
        <f>COUNTIF('DI Checkout'!I5:I24,"N/A")</f>
        <v/>
      </c>
      <c r="F5" s="3">
        <f>B5-C5-D5-E5</f>
        <v/>
      </c>
      <c r="G5" s="10">
        <f>IF(B5=0,"",(C5+E5)/B5)</f>
        <v/>
      </c>
    </row>
    <row r="6">
      <c r="A6" s="3" t="inlineStr">
        <is>
          <t>Digital output checkout</t>
        </is>
      </c>
      <c r="B6" s="3">
        <f>COUNTA('DO Checkout'!B5:B13)</f>
        <v/>
      </c>
      <c r="C6" s="3">
        <f>COUNTIF('DO Checkout'!I5:I13,"OK")</f>
        <v/>
      </c>
      <c r="D6" s="3">
        <f>COUNTIF('DO Checkout'!I5:I13,"NOK")</f>
        <v/>
      </c>
      <c r="E6" s="3">
        <f>COUNTIF('DO Checkout'!I5:I13,"N/A")</f>
        <v/>
      </c>
      <c r="F6" s="3">
        <f>B6-C6-D6-E6</f>
        <v/>
      </c>
      <c r="G6" s="10">
        <f>IF(B6=0,"",(C6+E6)/B6)</f>
        <v/>
      </c>
    </row>
    <row r="7">
      <c r="A7" s="3" t="inlineStr">
        <is>
          <t>Analog input loop check</t>
        </is>
      </c>
      <c r="B7" s="3">
        <f>COUNTA('AI Loop Check'!B5:B24)</f>
        <v/>
      </c>
      <c r="C7" s="3">
        <f>COUNTIF('AI Loop Check'!P5:P24,"OK")</f>
        <v/>
      </c>
      <c r="D7" s="3">
        <f>COUNTIF('AI Loop Check'!P5:P24,"NOK")</f>
        <v/>
      </c>
      <c r="E7" s="3">
        <f>COUNTIF('AI Loop Check'!P5:P24,"N/A")</f>
        <v/>
      </c>
      <c r="F7" s="3">
        <f>B7-C7-D7-E7</f>
        <v/>
      </c>
      <c r="G7" s="10">
        <f>IF(B7=0,"",(C7+E7)/B7)</f>
        <v/>
      </c>
    </row>
    <row r="8">
      <c r="A8" s="3" t="inlineStr">
        <is>
          <t>Analog output loop check</t>
        </is>
      </c>
      <c r="B8" s="3">
        <f>COUNTA('AO Loop Check'!B5:B14)</f>
        <v/>
      </c>
      <c r="C8" s="3">
        <f>COUNTIF('AO Loop Check'!P5:P14,"OK")</f>
        <v/>
      </c>
      <c r="D8" s="3">
        <f>COUNTIF('AO Loop Check'!P5:P14,"NOK")</f>
        <v/>
      </c>
      <c r="E8" s="3">
        <f>COUNTIF('AO Loop Check'!P5:P14,"N/A")</f>
        <v/>
      </c>
      <c r="F8" s="3">
        <f>B8-C8-D8-E8</f>
        <v/>
      </c>
      <c r="G8" s="10">
        <f>IF(B8=0,"",(C8+E8)/B8)</f>
        <v/>
      </c>
    </row>
    <row r="9">
      <c r="A9" s="2" t="inlineStr">
        <is>
          <t>Total</t>
        </is>
      </c>
      <c r="B9" s="2">
        <f>SUM(B5:B8)</f>
        <v/>
      </c>
      <c r="C9" s="2">
        <f>SUM(C5:C8)</f>
        <v/>
      </c>
      <c r="D9" s="2">
        <f>SUM(D5:D8)</f>
        <v/>
      </c>
      <c r="E9" s="2">
        <f>SUM(E5:E8)</f>
        <v/>
      </c>
      <c r="F9" s="2">
        <f>SUM(F5:F8)</f>
        <v/>
      </c>
      <c r="G9" s="11">
        <f>IF(B9=0,"",(C9+E9)/B9)</f>
        <v/>
      </c>
    </row>
    <row r="11">
      <c r="A11" s="8" t="inlineStr">
        <is>
          <t>Analog sheets count test points (5 per channel).</t>
        </is>
      </c>
    </row>
    <row r="12">
      <c r="A12" s="5" t="inlineStr">
        <is>
          <t>Open A (Punch List)</t>
        </is>
      </c>
      <c r="B12">
        <f>COUNTIFS('Punch List'!F6:F500,"A",'Punch List'!I6:I500,"&lt;&gt;CLOSED")</f>
        <v/>
      </c>
    </row>
  </sheetData>
  <conditionalFormatting sqref="G5:G9">
    <cfRule type="dataBar" priority="1">
      <dataBar>
        <cfvo type="num" val="0"/>
        <cfvo type="num" val="1"/>
        <color rgb="0063BE7B"/>
      </dataBar>
    </cfRule>
  </conditionalFormatting>
  <pageMargins left="0.75" right="0.75" top="1" bottom="1" header="0.5" footer="0.5"/>
  <pageSetup orientation="landscape" paperSize="9" fitToHeight="0" fitToWidth="1"/>
  <headerFooter>
    <oddHeader/>
    <oddFooter>&amp;LPackaging Line 3 CP-0001&amp;C&amp;P / &amp;N&amp;RCommissionPack 0.1.0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32" customWidth="1" min="4" max="4"/>
    <col width="12" customWidth="1" min="5" max="5"/>
    <col width="18" customWidth="1" min="6" max="6"/>
    <col width="58" customWidth="1" min="7" max="7"/>
    <col width="30" customWidth="1" min="8" max="8"/>
    <col width="9" customWidth="1" min="9" max="9"/>
    <col width="14" customWidth="1" min="10" max="10"/>
    <col width="12" customWidth="1" min="11" max="11"/>
    <col width="26" customWidth="1" min="12" max="12"/>
  </cols>
  <sheetData>
    <row r="1">
      <c r="A1" s="4" t="inlineStr">
        <is>
          <t>DI Checkout - Packaging Line 3</t>
        </is>
      </c>
    </row>
    <row r="2">
      <c r="A2" s="8" t="inlineStr">
        <is>
          <t>Customer: Sample Customer   |   Machine / Line: Infeed conveyor + hydraulic press   |   Document No.: CP-0001   |   Revision: 0</t>
        </is>
      </c>
    </row>
    <row r="4" ht="32" customHeight="1">
      <c r="A4" s="9" t="inlineStr">
        <is>
          <t>No.</t>
        </is>
      </c>
      <c r="B4" s="9" t="inlineStr">
        <is>
          <t>Tag</t>
        </is>
      </c>
      <c r="C4" s="9" t="inlineStr">
        <is>
          <t>Address</t>
        </is>
      </c>
      <c r="D4" s="9" t="inlineStr">
        <is>
          <t>Comment</t>
        </is>
      </c>
      <c r="E4" s="9" t="inlineStr">
        <is>
          <t>Location</t>
        </is>
      </c>
      <c r="F4" s="9" t="inlineStr">
        <is>
          <t>Device type</t>
        </is>
      </c>
      <c r="G4" s="9" t="inlineStr">
        <is>
          <t>Test instruction</t>
        </is>
      </c>
      <c r="H4" s="9" t="inlineStr">
        <is>
          <t>Expected result</t>
        </is>
      </c>
      <c r="I4" s="9" t="inlineStr">
        <is>
          <t>Status</t>
        </is>
      </c>
      <c r="J4" s="9" t="inlineStr">
        <is>
          <t>Tested by</t>
        </is>
      </c>
      <c r="K4" s="9" t="inlineStr">
        <is>
          <t>Date</t>
        </is>
      </c>
      <c r="L4" s="9" t="inlineStr">
        <is>
          <t>Remarks</t>
        </is>
      </c>
    </row>
    <row r="5">
      <c r="A5" s="12" t="n">
        <v>1</v>
      </c>
      <c r="B5" s="12" t="inlineStr">
        <is>
          <t>EStop_Panel_CH1</t>
        </is>
      </c>
      <c r="C5" s="12" t="inlineStr">
        <is>
          <t>%I0.0</t>
        </is>
      </c>
      <c r="D5" s="12" t="inlineStr">
        <is>
          <t>Emergency stop main panel channel 1</t>
        </is>
      </c>
      <c r="E5" s="12" t="inlineStr"/>
      <c r="F5" s="12" t="inlineStr">
        <is>
          <t>Safety device</t>
        </is>
      </c>
      <c r="G5" s="12" t="inlineStr">
        <is>
          <t>Operate the safety device (e.g. press E-stop, open door). Check the input goes to 0 (NC). Reset the device. Check the input goes back to 1. Test both channels if 2-channel.</t>
        </is>
      </c>
      <c r="H5" s="12" t="inlineStr">
        <is>
          <t>Correct address. Input LED, PLC and HMI show the same state.</t>
        </is>
      </c>
      <c r="I5" s="13" t="n"/>
      <c r="J5" s="13" t="n"/>
      <c r="K5" s="13" t="n"/>
      <c r="L5" s="13" t="n"/>
    </row>
    <row r="6">
      <c r="A6" s="12" t="n">
        <v>2</v>
      </c>
      <c r="B6" s="12" t="inlineStr">
        <is>
          <t>EStop_Panel_CH2</t>
        </is>
      </c>
      <c r="C6" s="12" t="inlineStr">
        <is>
          <t>%I0.1</t>
        </is>
      </c>
      <c r="D6" s="12" t="inlineStr">
        <is>
          <t>Emergency stop main panel channel 2</t>
        </is>
      </c>
      <c r="E6" s="12" t="inlineStr"/>
      <c r="F6" s="12" t="inlineStr">
        <is>
          <t>Safety device</t>
        </is>
      </c>
      <c r="G6" s="12" t="inlineStr">
        <is>
          <t>Operate the safety device (e.g. press E-stop, open door). Check the input goes to 0 (NC). Reset the device. Check the input goes back to 1. Test both channels if 2-channel.</t>
        </is>
      </c>
      <c r="H6" s="12" t="inlineStr">
        <is>
          <t>Correct address. Input LED, PLC and HMI show the same state.</t>
        </is>
      </c>
      <c r="I6" s="13" t="n"/>
      <c r="J6" s="13" t="n"/>
      <c r="K6" s="13" t="n"/>
      <c r="L6" s="13" t="n"/>
    </row>
    <row r="7">
      <c r="A7" s="12" t="n">
        <v>3</v>
      </c>
      <c r="B7" s="12" t="inlineStr">
        <is>
          <t>Door1_Closed</t>
        </is>
      </c>
      <c r="C7" s="12" t="inlineStr">
        <is>
          <t>%I0.2</t>
        </is>
      </c>
      <c r="D7" s="12" t="inlineStr">
        <is>
          <t>Safety door 1 closed (interlock)</t>
        </is>
      </c>
      <c r="E7" s="12" t="inlineStr"/>
      <c r="F7" s="12" t="inlineStr">
        <is>
          <t>Safety device</t>
        </is>
      </c>
      <c r="G7" s="12" t="inlineStr">
        <is>
          <t>Operate the safety device (e.g. press E-stop, open door). Check the input goes to 0 (NC). Reset the device. Check the input goes back to 1. Test both channels if 2-channel.</t>
        </is>
      </c>
      <c r="H7" s="12" t="inlineStr">
        <is>
          <t>Correct address. Input LED, PLC and HMI show the same state.</t>
        </is>
      </c>
      <c r="I7" s="13" t="n"/>
      <c r="J7" s="13" t="n"/>
      <c r="K7" s="13" t="n"/>
      <c r="L7" s="13" t="n"/>
    </row>
    <row r="8">
      <c r="A8" s="12" t="n">
        <v>4</v>
      </c>
      <c r="B8" s="12" t="inlineStr">
        <is>
          <t>LightCurtain_OK</t>
        </is>
      </c>
      <c r="C8" s="12" t="inlineStr">
        <is>
          <t>%I0.3</t>
        </is>
      </c>
      <c r="D8" s="12" t="inlineStr">
        <is>
          <t>Light curtain infeed OK</t>
        </is>
      </c>
      <c r="E8" s="12" t="inlineStr"/>
      <c r="F8" s="12" t="inlineStr">
        <is>
          <t>Safety device</t>
        </is>
      </c>
      <c r="G8" s="12" t="inlineStr">
        <is>
          <t>Operate the safety device (e.g. press E-stop, open door). Check the input goes to 0 (NC). Reset the device. Check the input goes back to 1. Test both channels if 2-channel.</t>
        </is>
      </c>
      <c r="H8" s="12" t="inlineStr">
        <is>
          <t>Correct address. Input LED, PLC and HMI show the same state.</t>
        </is>
      </c>
      <c r="I8" s="13" t="n"/>
      <c r="J8" s="13" t="n"/>
      <c r="K8" s="13" t="n"/>
      <c r="L8" s="13" t="n"/>
    </row>
    <row r="9">
      <c r="A9" s="14" t="n">
        <v>5</v>
      </c>
      <c r="B9" s="14" t="inlineStr">
        <is>
          <t>PB_Start</t>
        </is>
      </c>
      <c r="C9" s="14" t="inlineStr">
        <is>
          <t>%I0.4</t>
        </is>
      </c>
      <c r="D9" s="14" t="inlineStr">
        <is>
          <t>Push button start</t>
        </is>
      </c>
      <c r="E9" s="14" t="inlineStr"/>
      <c r="F9" s="14" t="inlineStr">
        <is>
          <t>Push button / Selector</t>
        </is>
      </c>
      <c r="G9" s="14" t="inlineStr">
        <is>
          <t>Press / switch the operator device. Check the input changes 0 -&gt; 1. Release. Check 1 -&gt; 0.</t>
        </is>
      </c>
      <c r="H9" s="14" t="inlineStr">
        <is>
          <t>Correct address. Input LED, PLC and HMI show the same state.</t>
        </is>
      </c>
      <c r="I9" s="13" t="n"/>
      <c r="J9" s="13" t="n"/>
      <c r="K9" s="13" t="n"/>
      <c r="L9" s="13" t="n"/>
    </row>
    <row r="10">
      <c r="A10" s="14" t="n">
        <v>6</v>
      </c>
      <c r="B10" s="14" t="inlineStr">
        <is>
          <t>PB_Stop</t>
        </is>
      </c>
      <c r="C10" s="14" t="inlineStr">
        <is>
          <t>%I0.5</t>
        </is>
      </c>
      <c r="D10" s="14" t="inlineStr">
        <is>
          <t>Push button stop</t>
        </is>
      </c>
      <c r="E10" s="14" t="inlineStr"/>
      <c r="F10" s="14" t="inlineStr">
        <is>
          <t>Push button / Selector</t>
        </is>
      </c>
      <c r="G10" s="14" t="inlineStr">
        <is>
          <t>Press / switch the operator device. Check the input changes 0 -&gt; 1. Release. Check 1 -&gt; 0.</t>
        </is>
      </c>
      <c r="H10" s="14" t="inlineStr">
        <is>
          <t>Correct address. Input LED, PLC and HMI show the same state.</t>
        </is>
      </c>
      <c r="I10" s="13" t="n"/>
      <c r="J10" s="13" t="n"/>
      <c r="K10" s="13" t="n"/>
      <c r="L10" s="13" t="n"/>
    </row>
    <row r="11">
      <c r="A11" s="14" t="n">
        <v>7</v>
      </c>
      <c r="B11" s="14" t="inlineStr">
        <is>
          <t>PB_Reset</t>
        </is>
      </c>
      <c r="C11" s="14" t="inlineStr">
        <is>
          <t>%I0.6</t>
        </is>
      </c>
      <c r="D11" s="14" t="inlineStr">
        <is>
          <t>Fault reset</t>
        </is>
      </c>
      <c r="E11" s="14" t="inlineStr"/>
      <c r="F11" s="14" t="inlineStr">
        <is>
          <t>Push button / Selector</t>
        </is>
      </c>
      <c r="G11" s="14" t="inlineStr">
        <is>
          <t>Press / switch the operator device. Check the input changes 0 -&gt; 1. Release. Check 1 -&gt; 0.</t>
        </is>
      </c>
      <c r="H11" s="14" t="inlineStr">
        <is>
          <t>Correct address. Input LED, PLC and HMI show the same state.</t>
        </is>
      </c>
      <c r="I11" s="13" t="n"/>
      <c r="J11" s="13" t="n"/>
      <c r="K11" s="13" t="n"/>
      <c r="L11" s="13" t="n"/>
    </row>
    <row r="12">
      <c r="A12" s="14" t="n">
        <v>8</v>
      </c>
      <c r="B12" s="14" t="inlineStr">
        <is>
          <t>SS_AutoManual</t>
        </is>
      </c>
      <c r="C12" s="14" t="inlineStr">
        <is>
          <t>%I0.7</t>
        </is>
      </c>
      <c r="D12" s="14" t="inlineStr">
        <is>
          <t>Selector auto / manual</t>
        </is>
      </c>
      <c r="E12" s="14" t="inlineStr"/>
      <c r="F12" s="14" t="inlineStr">
        <is>
          <t>Push button / Selector</t>
        </is>
      </c>
      <c r="G12" s="14" t="inlineStr">
        <is>
          <t>Press / switch the operator device. Check the input changes 0 -&gt; 1. Release. Check 1 -&gt; 0.</t>
        </is>
      </c>
      <c r="H12" s="14" t="inlineStr">
        <is>
          <t>Correct address. Input LED, PLC and HMI show the same state.</t>
        </is>
      </c>
      <c r="I12" s="13" t="n"/>
      <c r="J12" s="13" t="n"/>
      <c r="K12" s="13" t="n"/>
      <c r="L12" s="13" t="n"/>
    </row>
    <row r="13">
      <c r="A13" s="14" t="n">
        <v>9</v>
      </c>
      <c r="B13" s="14" t="inlineStr">
        <is>
          <t>Q1_MCB_OK</t>
        </is>
      </c>
      <c r="C13" s="14" t="inlineStr">
        <is>
          <t>%I1.0</t>
        </is>
      </c>
      <c r="D13" s="14" t="inlineStr">
        <is>
          <t>Main breaker Q1 feedback</t>
        </is>
      </c>
      <c r="E13" s="14" t="inlineStr"/>
      <c r="F13" s="14" t="inlineStr">
        <is>
          <t>Breaker / Feedback</t>
        </is>
      </c>
      <c r="G13" s="14" t="inlineStr">
        <is>
          <t>Switch the breaker / contactor ON and OFF. Check the feedback input follows the device state.</t>
        </is>
      </c>
      <c r="H13" s="14" t="inlineStr">
        <is>
          <t>Correct address. Input LED, PLC and HMI show the same state.</t>
        </is>
      </c>
      <c r="I13" s="13" t="n"/>
      <c r="J13" s="13" t="n"/>
      <c r="K13" s="13" t="n"/>
      <c r="L13" s="13" t="n"/>
    </row>
    <row r="14">
      <c r="A14" s="14" t="n">
        <v>10</v>
      </c>
      <c r="B14" s="14" t="inlineStr">
        <is>
          <t>M1_Conveyor_Running</t>
        </is>
      </c>
      <c r="C14" s="14" t="inlineStr">
        <is>
          <t>%I1.1</t>
        </is>
      </c>
      <c r="D14" s="14" t="inlineStr">
        <is>
          <t>Conveyor motor M1 running feedback</t>
        </is>
      </c>
      <c r="E14" s="14" t="inlineStr"/>
      <c r="F14" s="14" t="inlineStr">
        <is>
          <t>Motor / Contactor</t>
        </is>
      </c>
      <c r="G14" s="14" t="inlineStr">
        <is>
          <t>Run the motor in manual mode (area safe). Check the running / feedback input = 1. Stop. Check = 0.</t>
        </is>
      </c>
      <c r="H14" s="14" t="inlineStr">
        <is>
          <t>Correct address. Input LED, PLC and HMI show the same state.</t>
        </is>
      </c>
      <c r="I14" s="13" t="n"/>
      <c r="J14" s="13" t="n"/>
      <c r="K14" s="13" t="n"/>
      <c r="L14" s="13" t="n"/>
    </row>
    <row r="15">
      <c r="A15" s="14" t="n">
        <v>11</v>
      </c>
      <c r="B15" s="14" t="inlineStr">
        <is>
          <t>M2_Pump_Running</t>
        </is>
      </c>
      <c r="C15" s="14" t="inlineStr">
        <is>
          <t>%I1.2</t>
        </is>
      </c>
      <c r="D15" s="14" t="inlineStr">
        <is>
          <t>Hydraulic pump M2 running</t>
        </is>
      </c>
      <c r="E15" s="14" t="inlineStr"/>
      <c r="F15" s="14" t="inlineStr">
        <is>
          <t>Motor / Contactor</t>
        </is>
      </c>
      <c r="G15" s="14" t="inlineStr">
        <is>
          <t>Run the motor in manual mode (area safe). Check the running / feedback input = 1. Stop. Check = 0.</t>
        </is>
      </c>
      <c r="H15" s="14" t="inlineStr">
        <is>
          <t>Correct address. Input LED, PLC and HMI show the same state.</t>
        </is>
      </c>
      <c r="I15" s="13" t="n"/>
      <c r="J15" s="13" t="n"/>
      <c r="K15" s="13" t="n"/>
      <c r="L15" s="13" t="n"/>
    </row>
    <row r="16">
      <c r="A16" s="14" t="n">
        <v>12</v>
      </c>
      <c r="B16" s="14" t="inlineStr">
        <is>
          <t>Cyl1_Extended</t>
        </is>
      </c>
      <c r="C16" s="14" t="inlineStr">
        <is>
          <t>%I1.3</t>
        </is>
      </c>
      <c r="D16" s="14" t="inlineStr">
        <is>
          <t>Cylinder 1 end position extended</t>
        </is>
      </c>
      <c r="E16" s="14" t="inlineStr"/>
      <c r="F16" s="14" t="inlineStr">
        <is>
          <t>Valve / Cylinder</t>
        </is>
      </c>
      <c r="G16" s="14" t="inlineStr">
        <is>
          <t>Move the cylinder / valve to the end position. Check the end-position input = 1. Move back. Check = 0.</t>
        </is>
      </c>
      <c r="H16" s="14" t="inlineStr">
        <is>
          <t>Correct address. Input LED, PLC and HMI show the same state.</t>
        </is>
      </c>
      <c r="I16" s="13" t="n"/>
      <c r="J16" s="13" t="n"/>
      <c r="K16" s="13" t="n"/>
      <c r="L16" s="13" t="n"/>
    </row>
    <row r="17">
      <c r="A17" s="14" t="n">
        <v>13</v>
      </c>
      <c r="B17" s="14" t="inlineStr">
        <is>
          <t>Cyl1_Retracted</t>
        </is>
      </c>
      <c r="C17" s="14" t="inlineStr">
        <is>
          <t>%I1.4</t>
        </is>
      </c>
      <c r="D17" s="14" t="inlineStr">
        <is>
          <t>Cylinder 1 end position retracted</t>
        </is>
      </c>
      <c r="E17" s="14" t="inlineStr"/>
      <c r="F17" s="14" t="inlineStr">
        <is>
          <t>Valve / Cylinder</t>
        </is>
      </c>
      <c r="G17" s="14" t="inlineStr">
        <is>
          <t>Move the cylinder / valve to the end position. Check the end-position input = 1. Move back. Check = 0.</t>
        </is>
      </c>
      <c r="H17" s="14" t="inlineStr">
        <is>
          <t>Correct address. Input LED, PLC and HMI show the same state.</t>
        </is>
      </c>
      <c r="I17" s="13" t="n"/>
      <c r="J17" s="13" t="n"/>
      <c r="K17" s="13" t="n"/>
      <c r="L17" s="13" t="n"/>
    </row>
    <row r="18">
      <c r="A18" s="14" t="n">
        <v>14</v>
      </c>
      <c r="B18" s="14" t="inlineStr">
        <is>
          <t>Prox_PartPresent</t>
        </is>
      </c>
      <c r="C18" s="14" t="inlineStr">
        <is>
          <t>%I1.5</t>
        </is>
      </c>
      <c r="D18" s="14" t="inlineStr">
        <is>
          <t>Inductive sensor part present</t>
        </is>
      </c>
      <c r="E18" s="14" t="inlineStr"/>
      <c r="F18" s="14" t="inlineStr">
        <is>
          <t>Sensor / Switch</t>
        </is>
      </c>
      <c r="G18" s="14" t="inlineStr">
        <is>
          <t>Activate the sensor with the real target. Check the sensor LED and input = 1. Remove the target. Check input = 0.</t>
        </is>
      </c>
      <c r="H18" s="14" t="inlineStr">
        <is>
          <t>Correct address. Input LED, PLC and HMI show the same state.</t>
        </is>
      </c>
      <c r="I18" s="13" t="n"/>
      <c r="J18" s="13" t="n"/>
      <c r="K18" s="13" t="n"/>
      <c r="L18" s="13" t="n"/>
    </row>
    <row r="19">
      <c r="A19" s="14" t="n">
        <v>15</v>
      </c>
      <c r="B19" s="14" t="inlineStr">
        <is>
          <t>Photo_Infeed</t>
        </is>
      </c>
      <c r="C19" s="14" t="inlineStr">
        <is>
          <t>%I1.6</t>
        </is>
      </c>
      <c r="D19" s="14" t="inlineStr">
        <is>
          <t>Photo sensor infeed</t>
        </is>
      </c>
      <c r="E19" s="14" t="inlineStr"/>
      <c r="F19" s="14" t="inlineStr">
        <is>
          <t>Sensor / Switch</t>
        </is>
      </c>
      <c r="G19" s="14" t="inlineStr">
        <is>
          <t>Activate the sensor with the real target. Check the sensor LED and input = 1. Remove the target. Check input = 0.</t>
        </is>
      </c>
      <c r="H19" s="14" t="inlineStr">
        <is>
          <t>Correct address. Input LED, PLC and HMI show the same state.</t>
        </is>
      </c>
      <c r="I19" s="13" t="n"/>
      <c r="J19" s="13" t="n"/>
      <c r="K19" s="13" t="n"/>
      <c r="L19" s="13" t="n"/>
    </row>
    <row r="20">
      <c r="A20" s="14" t="n">
        <v>16</v>
      </c>
      <c r="B20" s="14" t="inlineStr">
        <is>
          <t>Photo_Outfeed</t>
        </is>
      </c>
      <c r="C20" s="14" t="inlineStr">
        <is>
          <t>%I1.7</t>
        </is>
      </c>
      <c r="D20" s="14" t="inlineStr">
        <is>
          <t>Photo sensor outfeed</t>
        </is>
      </c>
      <c r="E20" s="14" t="inlineStr"/>
      <c r="F20" s="14" t="inlineStr">
        <is>
          <t>Sensor / Switch</t>
        </is>
      </c>
      <c r="G20" s="14" t="inlineStr">
        <is>
          <t>Activate the sensor with the real target. Check the sensor LED and input = 1. Remove the target. Check input = 0.</t>
        </is>
      </c>
      <c r="H20" s="14" t="inlineStr">
        <is>
          <t>Correct address. Input LED, PLC and HMI show the same state.</t>
        </is>
      </c>
      <c r="I20" s="13" t="n"/>
      <c r="J20" s="13" t="n"/>
      <c r="K20" s="13" t="n"/>
      <c r="L20" s="13" t="n"/>
    </row>
    <row r="21">
      <c r="A21" s="14" t="n">
        <v>17</v>
      </c>
      <c r="B21" s="14" t="inlineStr">
        <is>
          <t>LS_Tank_High</t>
        </is>
      </c>
      <c r="C21" s="14" t="inlineStr">
        <is>
          <t>%I2.0</t>
        </is>
      </c>
      <c r="D21" s="14" t="inlineStr">
        <is>
          <t>Level switch tank high</t>
        </is>
      </c>
      <c r="E21" s="14" t="inlineStr"/>
      <c r="F21" s="14" t="inlineStr">
        <is>
          <t>Level</t>
        </is>
      </c>
      <c r="G21" s="14" t="inlineStr">
        <is>
          <t>Simulate the switch point (test button, test pressure or real level). Check the input changes at the set value and the HMI shows the state.</t>
        </is>
      </c>
      <c r="H21" s="14" t="inlineStr">
        <is>
          <t>Correct address. Input LED, PLC and HMI show the same state.</t>
        </is>
      </c>
      <c r="I21" s="13" t="n"/>
      <c r="J21" s="13" t="n"/>
      <c r="K21" s="13" t="n"/>
      <c r="L21" s="13" t="n"/>
    </row>
    <row r="22">
      <c r="A22" s="14" t="n">
        <v>18</v>
      </c>
      <c r="B22" s="14" t="inlineStr">
        <is>
          <t>PS_Air_OK</t>
        </is>
      </c>
      <c r="C22" s="14" t="inlineStr">
        <is>
          <t>%I2.1</t>
        </is>
      </c>
      <c r="D22" s="14" t="inlineStr">
        <is>
          <t>Pressure switch compressed air OK</t>
        </is>
      </c>
      <c r="E22" s="14" t="inlineStr"/>
      <c r="F22" s="14" t="inlineStr">
        <is>
          <t>Pressure</t>
        </is>
      </c>
      <c r="G22" s="14" t="inlineStr">
        <is>
          <t>Simulate the switch point (test button, test pressure or real level). Check the input changes at the set value and the HMI shows the state.</t>
        </is>
      </c>
      <c r="H22" s="14" t="inlineStr">
        <is>
          <t>Correct address. Input LED, PLC and HMI show the same state.</t>
        </is>
      </c>
      <c r="I22" s="13" t="n"/>
      <c r="J22" s="13" t="n"/>
      <c r="K22" s="13" t="n"/>
      <c r="L22" s="13" t="n"/>
    </row>
    <row r="23">
      <c r="A23" s="14" t="n">
        <v>19</v>
      </c>
      <c r="B23" s="14" t="inlineStr">
        <is>
          <t>VFD1_Ready</t>
        </is>
      </c>
      <c r="C23" s="14" t="inlineStr">
        <is>
          <t>%I2.2</t>
        </is>
      </c>
      <c r="D23" s="14" t="inlineStr">
        <is>
          <t>G120 drive conveyor ready</t>
        </is>
      </c>
      <c r="E23" s="14" t="inlineStr"/>
      <c r="F23" s="14" t="inlineStr">
        <is>
          <t>Drive / VFD</t>
        </is>
      </c>
      <c r="G23" s="14" t="inlineStr">
        <is>
          <t>Change the drive state (ready / fault / running). Check the status input follows the drive display.</t>
        </is>
      </c>
      <c r="H23" s="14" t="inlineStr">
        <is>
          <t>Correct address. Input LED, PLC and HMI show the same state.</t>
        </is>
      </c>
      <c r="I23" s="13" t="n"/>
      <c r="J23" s="13" t="n"/>
      <c r="K23" s="13" t="n"/>
      <c r="L23" s="13" t="n"/>
    </row>
    <row r="24">
      <c r="A24" s="14" t="n">
        <v>20</v>
      </c>
      <c r="B24" s="14" t="inlineStr">
        <is>
          <t>VFD1_Fault</t>
        </is>
      </c>
      <c r="C24" s="14" t="inlineStr">
        <is>
          <t>%I2.3</t>
        </is>
      </c>
      <c r="D24" s="14" t="inlineStr">
        <is>
          <t>G120 drive conveyor fault</t>
        </is>
      </c>
      <c r="E24" s="14" t="inlineStr"/>
      <c r="F24" s="14" t="inlineStr">
        <is>
          <t>Drive / VFD</t>
        </is>
      </c>
      <c r="G24" s="14" t="inlineStr">
        <is>
          <t>Change the drive state (ready / fault / running). Check the status input follows the drive display.</t>
        </is>
      </c>
      <c r="H24" s="14" t="inlineStr">
        <is>
          <t>Correct address. Input LED, PLC and HMI show the same state.</t>
        </is>
      </c>
      <c r="I24" s="13" t="n"/>
      <c r="J24" s="13" t="n"/>
      <c r="K24" s="13" t="n"/>
      <c r="L24" s="13" t="n"/>
    </row>
  </sheetData>
  <autoFilter ref="A4:L24"/>
  <conditionalFormatting sqref="I5:I24">
    <cfRule type="cellIs" priority="1" operator="equal" dxfId="0">
      <formula>"OK"</formula>
    </cfRule>
    <cfRule type="cellIs" priority="2" operator="equal" dxfId="1">
      <formula>"NOK"</formula>
    </cfRule>
    <cfRule type="cellIs" priority="3" operator="equal" dxfId="2">
      <formula>"N/A"</formula>
    </cfRule>
  </conditionalFormatting>
  <dataValidations count="1">
    <dataValidation sqref="I5:I24" showDropDown="0" showInputMessage="0" showErrorMessage="0" allowBlank="1" type="list">
      <formula1>"OK,NOK,N/A"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&amp;LPackaging Line 3 CP-0001&amp;C&amp;P / &amp;N&amp;RCommissionPack 0.1.0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32" customWidth="1" min="4" max="4"/>
    <col width="12" customWidth="1" min="5" max="5"/>
    <col width="18" customWidth="1" min="6" max="6"/>
    <col width="58" customWidth="1" min="7" max="7"/>
    <col width="30" customWidth="1" min="8" max="8"/>
    <col width="9" customWidth="1" min="9" max="9"/>
    <col width="14" customWidth="1" min="10" max="10"/>
    <col width="12" customWidth="1" min="11" max="11"/>
    <col width="26" customWidth="1" min="12" max="12"/>
  </cols>
  <sheetData>
    <row r="1">
      <c r="A1" s="4" t="inlineStr">
        <is>
          <t>DO Checkout - Packaging Line 3</t>
        </is>
      </c>
    </row>
    <row r="2">
      <c r="A2" s="8" t="inlineStr">
        <is>
          <t>Customer: Sample Customer   |   Machine / Line: Infeed conveyor + hydraulic press   |   Document No.: CP-0001   |   Revision: 0</t>
        </is>
      </c>
    </row>
    <row r="4" ht="32" customHeight="1">
      <c r="A4" s="9" t="inlineStr">
        <is>
          <t>No.</t>
        </is>
      </c>
      <c r="B4" s="9" t="inlineStr">
        <is>
          <t>Tag</t>
        </is>
      </c>
      <c r="C4" s="9" t="inlineStr">
        <is>
          <t>Address</t>
        </is>
      </c>
      <c r="D4" s="9" t="inlineStr">
        <is>
          <t>Comment</t>
        </is>
      </c>
      <c r="E4" s="9" t="inlineStr">
        <is>
          <t>Location</t>
        </is>
      </c>
      <c r="F4" s="9" t="inlineStr">
        <is>
          <t>Device type</t>
        </is>
      </c>
      <c r="G4" s="9" t="inlineStr">
        <is>
          <t>Test instruction</t>
        </is>
      </c>
      <c r="H4" s="9" t="inlineStr">
        <is>
          <t>Expected result</t>
        </is>
      </c>
      <c r="I4" s="9" t="inlineStr">
        <is>
          <t>Status</t>
        </is>
      </c>
      <c r="J4" s="9" t="inlineStr">
        <is>
          <t>Tested by</t>
        </is>
      </c>
      <c r="K4" s="9" t="inlineStr">
        <is>
          <t>Date</t>
        </is>
      </c>
      <c r="L4" s="9" t="inlineStr">
        <is>
          <t>Remarks</t>
        </is>
      </c>
    </row>
    <row r="5">
      <c r="A5" s="14" t="n">
        <v>1</v>
      </c>
      <c r="B5" s="14" t="inlineStr">
        <is>
          <t>M1_Contactor</t>
        </is>
      </c>
      <c r="C5" s="14" t="inlineStr">
        <is>
          <t>%Q0.0</t>
        </is>
      </c>
      <c r="D5" s="14" t="inlineStr">
        <is>
          <t>Conveyor motor M1 contactor</t>
        </is>
      </c>
      <c r="E5" s="14" t="inlineStr"/>
      <c r="F5" s="14" t="inlineStr">
        <is>
          <t>Motor / Contactor</t>
        </is>
      </c>
      <c r="G5" s="14" t="inlineStr">
        <is>
          <t>Make sure the motor can run safely. Set the output in the watch table. Check the contactor pulls in and the rotation direction. Reset the output.</t>
        </is>
      </c>
      <c r="H5" s="14" t="inlineStr">
        <is>
          <t>Correct device reacts. No other output or device changes.</t>
        </is>
      </c>
      <c r="I5" s="13" t="n"/>
      <c r="J5" s="13" t="n"/>
      <c r="K5" s="13" t="n"/>
      <c r="L5" s="13" t="n"/>
    </row>
    <row r="6">
      <c r="A6" s="14" t="n">
        <v>2</v>
      </c>
      <c r="B6" s="14" t="inlineStr">
        <is>
          <t>M2_Pump_Contactor</t>
        </is>
      </c>
      <c r="C6" s="14" t="inlineStr">
        <is>
          <t>%Q0.1</t>
        </is>
      </c>
      <c r="D6" s="14" t="inlineStr">
        <is>
          <t>Hydraulic pump M2 contactor</t>
        </is>
      </c>
      <c r="E6" s="14" t="inlineStr"/>
      <c r="F6" s="14" t="inlineStr">
        <is>
          <t>Motor / Contactor</t>
        </is>
      </c>
      <c r="G6" s="14" t="inlineStr">
        <is>
          <t>Make sure the motor can run safely. Set the output in the watch table. Check the contactor pulls in and the rotation direction. Reset the output.</t>
        </is>
      </c>
      <c r="H6" s="14" t="inlineStr">
        <is>
          <t>Correct device reacts. No other output or device changes.</t>
        </is>
      </c>
      <c r="I6" s="13" t="n"/>
      <c r="J6" s="13" t="n"/>
      <c r="K6" s="13" t="n"/>
      <c r="L6" s="13" t="n"/>
    </row>
    <row r="7">
      <c r="A7" s="14" t="n">
        <v>3</v>
      </c>
      <c r="B7" s="14" t="inlineStr">
        <is>
          <t>YV1_Cyl1_Extend</t>
        </is>
      </c>
      <c r="C7" s="14" t="inlineStr">
        <is>
          <t>%Q0.2</t>
        </is>
      </c>
      <c r="D7" s="14" t="inlineStr">
        <is>
          <t>Valve cylinder 1 extend</t>
        </is>
      </c>
      <c r="E7" s="14" t="inlineStr"/>
      <c r="F7" s="14" t="inlineStr">
        <is>
          <t>Valve / Cylinder</t>
        </is>
      </c>
      <c r="G7" s="14" t="inlineStr">
        <is>
          <t>Make sure the actuator area is clear. Set the output. Check the coil LED and the actuator moves. Reset the output.</t>
        </is>
      </c>
      <c r="H7" s="14" t="inlineStr">
        <is>
          <t>Correct device reacts. No other output or device changes.</t>
        </is>
      </c>
      <c r="I7" s="13" t="n"/>
      <c r="J7" s="13" t="n"/>
      <c r="K7" s="13" t="n"/>
      <c r="L7" s="13" t="n"/>
    </row>
    <row r="8">
      <c r="A8" s="14" t="n">
        <v>4</v>
      </c>
      <c r="B8" s="14" t="inlineStr">
        <is>
          <t>YV2_Cyl1_Retract</t>
        </is>
      </c>
      <c r="C8" s="14" t="inlineStr">
        <is>
          <t>%Q0.3</t>
        </is>
      </c>
      <c r="D8" s="14" t="inlineStr">
        <is>
          <t>Valve cylinder 1 retract</t>
        </is>
      </c>
      <c r="E8" s="14" t="inlineStr"/>
      <c r="F8" s="14" t="inlineStr">
        <is>
          <t>Valve / Cylinder</t>
        </is>
      </c>
      <c r="G8" s="14" t="inlineStr">
        <is>
          <t>Make sure the actuator area is clear. Set the output. Check the coil LED and the actuator moves. Reset the output.</t>
        </is>
      </c>
      <c r="H8" s="14" t="inlineStr">
        <is>
          <t>Correct device reacts. No other output or device changes.</t>
        </is>
      </c>
      <c r="I8" s="13" t="n"/>
      <c r="J8" s="13" t="n"/>
      <c r="K8" s="13" t="n"/>
      <c r="L8" s="13" t="n"/>
    </row>
    <row r="9">
      <c r="A9" s="14" t="n">
        <v>5</v>
      </c>
      <c r="B9" s="14" t="inlineStr">
        <is>
          <t>HL_Green</t>
        </is>
      </c>
      <c r="C9" s="14" t="inlineStr">
        <is>
          <t>%Q0.4</t>
        </is>
      </c>
      <c r="D9" s="14" t="inlineStr">
        <is>
          <t>Signal lamp green</t>
        </is>
      </c>
      <c r="E9" s="14" t="inlineStr"/>
      <c r="F9" s="14" t="inlineStr">
        <is>
          <t>Lamp / Horn</t>
        </is>
      </c>
      <c r="G9" s="14" t="inlineStr">
        <is>
          <t>Set the output. Check the lamp / horn works. Reset the output.</t>
        </is>
      </c>
      <c r="H9" s="14" t="inlineStr">
        <is>
          <t>Correct device reacts. No other output or device changes.</t>
        </is>
      </c>
      <c r="I9" s="13" t="n"/>
      <c r="J9" s="13" t="n"/>
      <c r="K9" s="13" t="n"/>
      <c r="L9" s="13" t="n"/>
    </row>
    <row r="10">
      <c r="A10" s="14" t="n">
        <v>6</v>
      </c>
      <c r="B10" s="14" t="inlineStr">
        <is>
          <t>HL_Red</t>
        </is>
      </c>
      <c r="C10" s="14" t="inlineStr">
        <is>
          <t>%Q0.5</t>
        </is>
      </c>
      <c r="D10" s="14" t="inlineStr">
        <is>
          <t>Signal lamp red</t>
        </is>
      </c>
      <c r="E10" s="14" t="inlineStr"/>
      <c r="F10" s="14" t="inlineStr">
        <is>
          <t>Lamp / Horn</t>
        </is>
      </c>
      <c r="G10" s="14" t="inlineStr">
        <is>
          <t>Set the output. Check the lamp / horn works. Reset the output.</t>
        </is>
      </c>
      <c r="H10" s="14" t="inlineStr">
        <is>
          <t>Correct device reacts. No other output or device changes.</t>
        </is>
      </c>
      <c r="I10" s="13" t="n"/>
      <c r="J10" s="13" t="n"/>
      <c r="K10" s="13" t="n"/>
      <c r="L10" s="13" t="n"/>
    </row>
    <row r="11">
      <c r="A11" s="14" t="n">
        <v>7</v>
      </c>
      <c r="B11" s="14" t="inlineStr">
        <is>
          <t>Horn</t>
        </is>
      </c>
      <c r="C11" s="14" t="inlineStr">
        <is>
          <t>%Q0.6</t>
        </is>
      </c>
      <c r="D11" s="14" t="inlineStr">
        <is>
          <t>Alarm horn</t>
        </is>
      </c>
      <c r="E11" s="14" t="inlineStr"/>
      <c r="F11" s="14" t="inlineStr">
        <is>
          <t>Lamp / Horn</t>
        </is>
      </c>
      <c r="G11" s="14" t="inlineStr">
        <is>
          <t>Set the output. Check the lamp / horn works. Reset the output.</t>
        </is>
      </c>
      <c r="H11" s="14" t="inlineStr">
        <is>
          <t>Correct device reacts. No other output or device changes.</t>
        </is>
      </c>
      <c r="I11" s="13" t="n"/>
      <c r="J11" s="13" t="n"/>
      <c r="K11" s="13" t="n"/>
      <c r="L11" s="13" t="n"/>
    </row>
    <row r="12">
      <c r="A12" s="14" t="n">
        <v>8</v>
      </c>
      <c r="B12" s="14" t="inlineStr">
        <is>
          <t>Heater1</t>
        </is>
      </c>
      <c r="C12" s="14" t="inlineStr">
        <is>
          <t>%Q0.7</t>
        </is>
      </c>
      <c r="D12" s="14" t="inlineStr">
        <is>
          <t>Heater zone 1 contactor</t>
        </is>
      </c>
      <c r="E12" s="14" t="inlineStr"/>
      <c r="F12" s="14" t="inlineStr">
        <is>
          <t>Heater</t>
        </is>
      </c>
      <c r="G12" s="14" t="inlineStr">
        <is>
          <t>Set the output for a short time only. Check the heater contactor pulls in. Reset the output.</t>
        </is>
      </c>
      <c r="H12" s="14" t="inlineStr">
        <is>
          <t>Correct device reacts. No other output or device changes.</t>
        </is>
      </c>
      <c r="I12" s="13" t="n"/>
      <c r="J12" s="13" t="n"/>
      <c r="K12" s="13" t="n"/>
      <c r="L12" s="13" t="n"/>
    </row>
    <row r="13">
      <c r="A13" s="14" t="n">
        <v>9</v>
      </c>
      <c r="B13" s="14" t="inlineStr">
        <is>
          <t>VFD1_Enable</t>
        </is>
      </c>
      <c r="C13" s="14" t="inlineStr">
        <is>
          <t>%Q1.0</t>
        </is>
      </c>
      <c r="D13" s="14" t="inlineStr">
        <is>
          <t>G120 drive conveyor enable</t>
        </is>
      </c>
      <c r="E13" s="14" t="inlineStr"/>
      <c r="F13" s="14" t="inlineStr">
        <is>
          <t>Drive / VFD</t>
        </is>
      </c>
      <c r="G13" s="14" t="inlineStr">
        <is>
          <t>Set the command output (enable / start). Check the drive receives the command (drive status display). Reset.</t>
        </is>
      </c>
      <c r="H13" s="14" t="inlineStr">
        <is>
          <t>Correct device reacts. No other output or device changes.</t>
        </is>
      </c>
      <c r="I13" s="13" t="n"/>
      <c r="J13" s="13" t="n"/>
      <c r="K13" s="13" t="n"/>
      <c r="L13" s="13" t="n"/>
    </row>
  </sheetData>
  <autoFilter ref="A4:L13"/>
  <conditionalFormatting sqref="I5:I13">
    <cfRule type="cellIs" priority="1" operator="equal" dxfId="0">
      <formula>"OK"</formula>
    </cfRule>
    <cfRule type="cellIs" priority="2" operator="equal" dxfId="1">
      <formula>"NOK"</formula>
    </cfRule>
    <cfRule type="cellIs" priority="3" operator="equal" dxfId="2">
      <formula>"N/A"</formula>
    </cfRule>
  </conditionalFormatting>
  <dataValidations count="1">
    <dataValidation sqref="I5:I13" showDropDown="0" showInputMessage="0" showErrorMessage="0" allowBlank="1" type="list">
      <formula1>"OK,NOK,N/A"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&amp;LPackaging Line 3 CP-0001&amp;C&amp;P / &amp;N&amp;RCommissionPack 0.1.0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28" customWidth="1" min="4" max="4"/>
    <col width="10" customWidth="1" min="5" max="5"/>
    <col width="9" customWidth="1" min="6" max="6"/>
    <col width="9" customWidth="1" min="7" max="7"/>
    <col width="7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8" customWidth="1" min="16" max="16"/>
    <col width="12" customWidth="1" min="17" max="17"/>
    <col width="11" customWidth="1" min="18" max="18"/>
    <col width="22" customWidth="1" min="19" max="19"/>
  </cols>
  <sheetData>
    <row r="1">
      <c r="A1" s="4" t="inlineStr">
        <is>
          <t>AI Loop Check - Packaging Line 3</t>
        </is>
      </c>
    </row>
    <row r="2">
      <c r="A2" s="8" t="inlineStr">
        <is>
          <t>Customer: Sample Customer   |   Machine / Line: Infeed conveyor + hydraulic press   |   Document No.: CP-0001   |   Revision: 0</t>
        </is>
      </c>
    </row>
    <row r="3">
      <c r="A3" s="8" t="inlineStr">
        <is>
          <t>Method: inject the signal with a calibrator at the terminal. Read the value in the PLC/HMI. Enter the measured value. Status is calculated automatically.</t>
        </is>
      </c>
    </row>
    <row r="4" ht="32" customHeight="1">
      <c r="A4" s="9" t="inlineStr">
        <is>
          <t>No.</t>
        </is>
      </c>
      <c r="B4" s="9" t="inlineStr">
        <is>
          <t>Tag</t>
        </is>
      </c>
      <c r="C4" s="9" t="inlineStr">
        <is>
          <t>Address</t>
        </is>
      </c>
      <c r="D4" s="9" t="inlineStr">
        <is>
          <t>Comment</t>
        </is>
      </c>
      <c r="E4" s="9" t="inlineStr">
        <is>
          <t>Signal</t>
        </is>
      </c>
      <c r="F4" s="9" t="inlineStr">
        <is>
          <t>Range min</t>
        </is>
      </c>
      <c r="G4" s="9" t="inlineStr">
        <is>
          <t>Range max</t>
        </is>
      </c>
      <c r="H4" s="9" t="inlineStr">
        <is>
          <t>Unit</t>
        </is>
      </c>
      <c r="I4" s="9" t="inlineStr">
        <is>
          <t>Test point</t>
        </is>
      </c>
      <c r="J4" s="9" t="inlineStr">
        <is>
          <t>Expected signal</t>
        </is>
      </c>
      <c r="K4" s="9" t="inlineStr">
        <is>
          <t>Raw value (S7)</t>
        </is>
      </c>
      <c r="L4" s="9" t="inlineStr">
        <is>
          <t>Expected value</t>
        </is>
      </c>
      <c r="M4" s="9" t="inlineStr">
        <is>
          <t>Measured value</t>
        </is>
      </c>
      <c r="N4" s="9" t="inlineStr">
        <is>
          <t>Deviation % of span</t>
        </is>
      </c>
      <c r="O4" s="9" t="inlineStr">
        <is>
          <t>Tolerance %</t>
        </is>
      </c>
      <c r="P4" s="9" t="inlineStr">
        <is>
          <t>Status</t>
        </is>
      </c>
      <c r="Q4" s="9" t="inlineStr">
        <is>
          <t>Tested by</t>
        </is>
      </c>
      <c r="R4" s="9" t="inlineStr">
        <is>
          <t>Date</t>
        </is>
      </c>
      <c r="S4" s="9" t="inlineStr">
        <is>
          <t>Remarks</t>
        </is>
      </c>
    </row>
    <row r="5">
      <c r="A5" s="15" t="n">
        <v>1</v>
      </c>
      <c r="B5" s="15" t="inlineStr">
        <is>
          <t>TT101_Temp</t>
        </is>
      </c>
      <c r="C5" s="15" t="inlineStr">
        <is>
          <t>%IW64</t>
        </is>
      </c>
      <c r="D5" s="15" t="inlineStr">
        <is>
          <t>Temperature tank PT100</t>
        </is>
      </c>
      <c r="E5" s="16" t="inlineStr">
        <is>
          <t>4-20 mA</t>
        </is>
      </c>
      <c r="F5" s="16" t="n">
        <v>0</v>
      </c>
      <c r="G5" s="16" t="n">
        <v>100</v>
      </c>
      <c r="H5" s="16" t="inlineStr"/>
      <c r="I5" s="17" t="n">
        <v>0</v>
      </c>
      <c r="J5" s="18">
        <f>IF(E5="0-10 V",10*I5,IF(E5="0-20 mA",20*I5,IF(E5="+/-10 V",-10+20*I5,4+16*I5)))</f>
        <v/>
      </c>
      <c r="K5" s="15">
        <f>IF(E5="+/-10 V",ROUND(-27648+55296*I5,0),ROUND(27648*I5,0))</f>
        <v/>
      </c>
      <c r="L5" s="18">
        <f>F5+I5*(G5-F5)</f>
        <v/>
      </c>
      <c r="M5" s="19" t="n"/>
      <c r="N5" s="18">
        <f>IF(OR(M5="",G5=F5),"",ABS(M5-L5)/ABS(G5-F5)*100)</f>
        <v/>
      </c>
      <c r="O5" s="16" t="n">
        <v>0.5</v>
      </c>
      <c r="P5" s="15">
        <f>IF(N5="","",IF(N5&lt;=O5,"OK","NOK"))</f>
        <v/>
      </c>
      <c r="Q5" s="16" t="n"/>
      <c r="R5" s="16" t="n"/>
      <c r="S5" s="16" t="n"/>
    </row>
    <row r="6">
      <c r="A6" s="14" t="n"/>
      <c r="B6" s="14" t="inlineStr">
        <is>
          <t>TT101_Temp</t>
        </is>
      </c>
      <c r="C6" s="14" t="inlineStr">
        <is>
          <t>%IW64</t>
        </is>
      </c>
      <c r="D6" s="14" t="n"/>
      <c r="E6" s="14">
        <f>E5</f>
        <v/>
      </c>
      <c r="F6" s="14">
        <f>F5</f>
        <v/>
      </c>
      <c r="G6" s="14">
        <f>G5</f>
        <v/>
      </c>
      <c r="H6" s="14">
        <f>H5</f>
        <v/>
      </c>
      <c r="I6" s="20" t="n">
        <v>0.25</v>
      </c>
      <c r="J6" s="21">
        <f>IF(E6="0-10 V",10*I6,IF(E6="0-20 mA",20*I6,IF(E6="+/-10 V",-10+20*I6,4+16*I6)))</f>
        <v/>
      </c>
      <c r="K6" s="14">
        <f>IF(E6="+/-10 V",ROUND(-27648+55296*I6,0),ROUND(27648*I6,0))</f>
        <v/>
      </c>
      <c r="L6" s="21">
        <f>F6+I6*(G6-F6)</f>
        <v/>
      </c>
      <c r="M6" s="22" t="n"/>
      <c r="N6" s="21">
        <f>IF(OR(M6="",G6=F6),"",ABS(M6-L6)/ABS(G6-F6)*100)</f>
        <v/>
      </c>
      <c r="O6" s="14">
        <f>O5</f>
        <v/>
      </c>
      <c r="P6" s="14">
        <f>IF(N6="","",IF(N6&lt;=O6,"OK","NOK"))</f>
        <v/>
      </c>
      <c r="Q6" s="13" t="n"/>
      <c r="R6" s="13" t="n"/>
      <c r="S6" s="13" t="n"/>
    </row>
    <row r="7">
      <c r="A7" s="14" t="n"/>
      <c r="B7" s="14" t="inlineStr">
        <is>
          <t>TT101_Temp</t>
        </is>
      </c>
      <c r="C7" s="14" t="inlineStr">
        <is>
          <t>%IW64</t>
        </is>
      </c>
      <c r="D7" s="14" t="n"/>
      <c r="E7" s="14">
        <f>E5</f>
        <v/>
      </c>
      <c r="F7" s="14">
        <f>F5</f>
        <v/>
      </c>
      <c r="G7" s="14">
        <f>G5</f>
        <v/>
      </c>
      <c r="H7" s="14">
        <f>H5</f>
        <v/>
      </c>
      <c r="I7" s="20" t="n">
        <v>0.5</v>
      </c>
      <c r="J7" s="21">
        <f>IF(E7="0-10 V",10*I7,IF(E7="0-20 mA",20*I7,IF(E7="+/-10 V",-10+20*I7,4+16*I7)))</f>
        <v/>
      </c>
      <c r="K7" s="14">
        <f>IF(E7="+/-10 V",ROUND(-27648+55296*I7,0),ROUND(27648*I7,0))</f>
        <v/>
      </c>
      <c r="L7" s="21">
        <f>F7+I7*(G7-F7)</f>
        <v/>
      </c>
      <c r="M7" s="22" t="n"/>
      <c r="N7" s="21">
        <f>IF(OR(M7="",G7=F7),"",ABS(M7-L7)/ABS(G7-F7)*100)</f>
        <v/>
      </c>
      <c r="O7" s="14">
        <f>O5</f>
        <v/>
      </c>
      <c r="P7" s="14">
        <f>IF(N7="","",IF(N7&lt;=O7,"OK","NOK"))</f>
        <v/>
      </c>
      <c r="Q7" s="13" t="n"/>
      <c r="R7" s="13" t="n"/>
      <c r="S7" s="13" t="n"/>
    </row>
    <row r="8">
      <c r="A8" s="14" t="n"/>
      <c r="B8" s="14" t="inlineStr">
        <is>
          <t>TT101_Temp</t>
        </is>
      </c>
      <c r="C8" s="14" t="inlineStr">
        <is>
          <t>%IW64</t>
        </is>
      </c>
      <c r="D8" s="14" t="n"/>
      <c r="E8" s="14">
        <f>E5</f>
        <v/>
      </c>
      <c r="F8" s="14">
        <f>F5</f>
        <v/>
      </c>
      <c r="G8" s="14">
        <f>G5</f>
        <v/>
      </c>
      <c r="H8" s="14">
        <f>H5</f>
        <v/>
      </c>
      <c r="I8" s="20" t="n">
        <v>0.75</v>
      </c>
      <c r="J8" s="21">
        <f>IF(E8="0-10 V",10*I8,IF(E8="0-20 mA",20*I8,IF(E8="+/-10 V",-10+20*I8,4+16*I8)))</f>
        <v/>
      </c>
      <c r="K8" s="14">
        <f>IF(E8="+/-10 V",ROUND(-27648+55296*I8,0),ROUND(27648*I8,0))</f>
        <v/>
      </c>
      <c r="L8" s="21">
        <f>F8+I8*(G8-F8)</f>
        <v/>
      </c>
      <c r="M8" s="22" t="n"/>
      <c r="N8" s="21">
        <f>IF(OR(M8="",G8=F8),"",ABS(M8-L8)/ABS(G8-F8)*100)</f>
        <v/>
      </c>
      <c r="O8" s="14">
        <f>O5</f>
        <v/>
      </c>
      <c r="P8" s="14">
        <f>IF(N8="","",IF(N8&lt;=O8,"OK","NOK"))</f>
        <v/>
      </c>
      <c r="Q8" s="13" t="n"/>
      <c r="R8" s="13" t="n"/>
      <c r="S8" s="13" t="n"/>
    </row>
    <row r="9">
      <c r="A9" s="14" t="n"/>
      <c r="B9" s="14" t="inlineStr">
        <is>
          <t>TT101_Temp</t>
        </is>
      </c>
      <c r="C9" s="14" t="inlineStr">
        <is>
          <t>%IW64</t>
        </is>
      </c>
      <c r="D9" s="14" t="n"/>
      <c r="E9" s="14">
        <f>E5</f>
        <v/>
      </c>
      <c r="F9" s="14">
        <f>F5</f>
        <v/>
      </c>
      <c r="G9" s="14">
        <f>G5</f>
        <v/>
      </c>
      <c r="H9" s="14">
        <f>H5</f>
        <v/>
      </c>
      <c r="I9" s="20" t="n">
        <v>1</v>
      </c>
      <c r="J9" s="21">
        <f>IF(E9="0-10 V",10*I9,IF(E9="0-20 mA",20*I9,IF(E9="+/-10 V",-10+20*I9,4+16*I9)))</f>
        <v/>
      </c>
      <c r="K9" s="14">
        <f>IF(E9="+/-10 V",ROUND(-27648+55296*I9,0),ROUND(27648*I9,0))</f>
        <v/>
      </c>
      <c r="L9" s="21">
        <f>F9+I9*(G9-F9)</f>
        <v/>
      </c>
      <c r="M9" s="22" t="n"/>
      <c r="N9" s="21">
        <f>IF(OR(M9="",G9=F9),"",ABS(M9-L9)/ABS(G9-F9)*100)</f>
        <v/>
      </c>
      <c r="O9" s="14">
        <f>O5</f>
        <v/>
      </c>
      <c r="P9" s="14">
        <f>IF(N9="","",IF(N9&lt;=O9,"OK","NOK"))</f>
        <v/>
      </c>
      <c r="Q9" s="13" t="n"/>
      <c r="R9" s="13" t="n"/>
      <c r="S9" s="13" t="n"/>
    </row>
    <row r="10">
      <c r="A10" s="15" t="n">
        <v>2</v>
      </c>
      <c r="B10" s="15" t="inlineStr">
        <is>
          <t>PT102_Pressure</t>
        </is>
      </c>
      <c r="C10" s="15" t="inlineStr">
        <is>
          <t>%IW66</t>
        </is>
      </c>
      <c r="D10" s="15" t="inlineStr">
        <is>
          <t>Hydraulic pressure transmitter</t>
        </is>
      </c>
      <c r="E10" s="16" t="inlineStr">
        <is>
          <t>4-20 mA</t>
        </is>
      </c>
      <c r="F10" s="16" t="n">
        <v>0</v>
      </c>
      <c r="G10" s="16" t="n">
        <v>100</v>
      </c>
      <c r="H10" s="16" t="inlineStr"/>
      <c r="I10" s="17" t="n">
        <v>0</v>
      </c>
      <c r="J10" s="18">
        <f>IF(E10="0-10 V",10*I10,IF(E10="0-20 mA",20*I10,IF(E10="+/-10 V",-10+20*I10,4+16*I10)))</f>
        <v/>
      </c>
      <c r="K10" s="15">
        <f>IF(E10="+/-10 V",ROUND(-27648+55296*I10,0),ROUND(27648*I10,0))</f>
        <v/>
      </c>
      <c r="L10" s="18">
        <f>F10+I10*(G10-F10)</f>
        <v/>
      </c>
      <c r="M10" s="19" t="n"/>
      <c r="N10" s="18">
        <f>IF(OR(M10="",G10=F10),"",ABS(M10-L10)/ABS(G10-F10)*100)</f>
        <v/>
      </c>
      <c r="O10" s="16" t="n">
        <v>0.5</v>
      </c>
      <c r="P10" s="15">
        <f>IF(N10="","",IF(N10&lt;=O10,"OK","NOK"))</f>
        <v/>
      </c>
      <c r="Q10" s="16" t="n"/>
      <c r="R10" s="16" t="n"/>
      <c r="S10" s="16" t="n"/>
    </row>
    <row r="11">
      <c r="A11" s="14" t="n"/>
      <c r="B11" s="14" t="inlineStr">
        <is>
          <t>PT102_Pressure</t>
        </is>
      </c>
      <c r="C11" s="14" t="inlineStr">
        <is>
          <t>%IW66</t>
        </is>
      </c>
      <c r="D11" s="14" t="n"/>
      <c r="E11" s="14">
        <f>E10</f>
        <v/>
      </c>
      <c r="F11" s="14">
        <f>F10</f>
        <v/>
      </c>
      <c r="G11" s="14">
        <f>G10</f>
        <v/>
      </c>
      <c r="H11" s="14">
        <f>H10</f>
        <v/>
      </c>
      <c r="I11" s="20" t="n">
        <v>0.25</v>
      </c>
      <c r="J11" s="21">
        <f>IF(E11="0-10 V",10*I11,IF(E11="0-20 mA",20*I11,IF(E11="+/-10 V",-10+20*I11,4+16*I11)))</f>
        <v/>
      </c>
      <c r="K11" s="14">
        <f>IF(E11="+/-10 V",ROUND(-27648+55296*I11,0),ROUND(27648*I11,0))</f>
        <v/>
      </c>
      <c r="L11" s="21">
        <f>F11+I11*(G11-F11)</f>
        <v/>
      </c>
      <c r="M11" s="22" t="n"/>
      <c r="N11" s="21">
        <f>IF(OR(M11="",G11=F11),"",ABS(M11-L11)/ABS(G11-F11)*100)</f>
        <v/>
      </c>
      <c r="O11" s="14">
        <f>O10</f>
        <v/>
      </c>
      <c r="P11" s="14">
        <f>IF(N11="","",IF(N11&lt;=O11,"OK","NOK"))</f>
        <v/>
      </c>
      <c r="Q11" s="13" t="n"/>
      <c r="R11" s="13" t="n"/>
      <c r="S11" s="13" t="n"/>
    </row>
    <row r="12">
      <c r="A12" s="14" t="n"/>
      <c r="B12" s="14" t="inlineStr">
        <is>
          <t>PT102_Pressure</t>
        </is>
      </c>
      <c r="C12" s="14" t="inlineStr">
        <is>
          <t>%IW66</t>
        </is>
      </c>
      <c r="D12" s="14" t="n"/>
      <c r="E12" s="14">
        <f>E10</f>
        <v/>
      </c>
      <c r="F12" s="14">
        <f>F10</f>
        <v/>
      </c>
      <c r="G12" s="14">
        <f>G10</f>
        <v/>
      </c>
      <c r="H12" s="14">
        <f>H10</f>
        <v/>
      </c>
      <c r="I12" s="20" t="n">
        <v>0.5</v>
      </c>
      <c r="J12" s="21">
        <f>IF(E12="0-10 V",10*I12,IF(E12="0-20 mA",20*I12,IF(E12="+/-10 V",-10+20*I12,4+16*I12)))</f>
        <v/>
      </c>
      <c r="K12" s="14">
        <f>IF(E12="+/-10 V",ROUND(-27648+55296*I12,0),ROUND(27648*I12,0))</f>
        <v/>
      </c>
      <c r="L12" s="21">
        <f>F12+I12*(G12-F12)</f>
        <v/>
      </c>
      <c r="M12" s="22" t="n"/>
      <c r="N12" s="21">
        <f>IF(OR(M12="",G12=F12),"",ABS(M12-L12)/ABS(G12-F12)*100)</f>
        <v/>
      </c>
      <c r="O12" s="14">
        <f>O10</f>
        <v/>
      </c>
      <c r="P12" s="14">
        <f>IF(N12="","",IF(N12&lt;=O12,"OK","NOK"))</f>
        <v/>
      </c>
      <c r="Q12" s="13" t="n"/>
      <c r="R12" s="13" t="n"/>
      <c r="S12" s="13" t="n"/>
    </row>
    <row r="13">
      <c r="A13" s="14" t="n"/>
      <c r="B13" s="14" t="inlineStr">
        <is>
          <t>PT102_Pressure</t>
        </is>
      </c>
      <c r="C13" s="14" t="inlineStr">
        <is>
          <t>%IW66</t>
        </is>
      </c>
      <c r="D13" s="14" t="n"/>
      <c r="E13" s="14">
        <f>E10</f>
        <v/>
      </c>
      <c r="F13" s="14">
        <f>F10</f>
        <v/>
      </c>
      <c r="G13" s="14">
        <f>G10</f>
        <v/>
      </c>
      <c r="H13" s="14">
        <f>H10</f>
        <v/>
      </c>
      <c r="I13" s="20" t="n">
        <v>0.75</v>
      </c>
      <c r="J13" s="21">
        <f>IF(E13="0-10 V",10*I13,IF(E13="0-20 mA",20*I13,IF(E13="+/-10 V",-10+20*I13,4+16*I13)))</f>
        <v/>
      </c>
      <c r="K13" s="14">
        <f>IF(E13="+/-10 V",ROUND(-27648+55296*I13,0),ROUND(27648*I13,0))</f>
        <v/>
      </c>
      <c r="L13" s="21">
        <f>F13+I13*(G13-F13)</f>
        <v/>
      </c>
      <c r="M13" s="22" t="n"/>
      <c r="N13" s="21">
        <f>IF(OR(M13="",G13=F13),"",ABS(M13-L13)/ABS(G13-F13)*100)</f>
        <v/>
      </c>
      <c r="O13" s="14">
        <f>O10</f>
        <v/>
      </c>
      <c r="P13" s="14">
        <f>IF(N13="","",IF(N13&lt;=O13,"OK","NOK"))</f>
        <v/>
      </c>
      <c r="Q13" s="13" t="n"/>
      <c r="R13" s="13" t="n"/>
      <c r="S13" s="13" t="n"/>
    </row>
    <row r="14">
      <c r="A14" s="14" t="n"/>
      <c r="B14" s="14" t="inlineStr">
        <is>
          <t>PT102_Pressure</t>
        </is>
      </c>
      <c r="C14" s="14" t="inlineStr">
        <is>
          <t>%IW66</t>
        </is>
      </c>
      <c r="D14" s="14" t="n"/>
      <c r="E14" s="14">
        <f>E10</f>
        <v/>
      </c>
      <c r="F14" s="14">
        <f>F10</f>
        <v/>
      </c>
      <c r="G14" s="14">
        <f>G10</f>
        <v/>
      </c>
      <c r="H14" s="14">
        <f>H10</f>
        <v/>
      </c>
      <c r="I14" s="20" t="n">
        <v>1</v>
      </c>
      <c r="J14" s="21">
        <f>IF(E14="0-10 V",10*I14,IF(E14="0-20 mA",20*I14,IF(E14="+/-10 V",-10+20*I14,4+16*I14)))</f>
        <v/>
      </c>
      <c r="K14" s="14">
        <f>IF(E14="+/-10 V",ROUND(-27648+55296*I14,0),ROUND(27648*I14,0))</f>
        <v/>
      </c>
      <c r="L14" s="21">
        <f>F14+I14*(G14-F14)</f>
        <v/>
      </c>
      <c r="M14" s="22" t="n"/>
      <c r="N14" s="21">
        <f>IF(OR(M14="",G14=F14),"",ABS(M14-L14)/ABS(G14-F14)*100)</f>
        <v/>
      </c>
      <c r="O14" s="14">
        <f>O10</f>
        <v/>
      </c>
      <c r="P14" s="14">
        <f>IF(N14="","",IF(N14&lt;=O14,"OK","NOK"))</f>
        <v/>
      </c>
      <c r="Q14" s="13" t="n"/>
      <c r="R14" s="13" t="n"/>
      <c r="S14" s="13" t="n"/>
    </row>
    <row r="15">
      <c r="A15" s="15" t="n">
        <v>3</v>
      </c>
      <c r="B15" s="15" t="inlineStr">
        <is>
          <t>LT103_Level</t>
        </is>
      </c>
      <c r="C15" s="15" t="inlineStr">
        <is>
          <t>%IW68</t>
        </is>
      </c>
      <c r="D15" s="15" t="inlineStr">
        <is>
          <t>Tank level transmitter</t>
        </is>
      </c>
      <c r="E15" s="16" t="inlineStr">
        <is>
          <t>4-20 mA</t>
        </is>
      </c>
      <c r="F15" s="16" t="n">
        <v>0</v>
      </c>
      <c r="G15" s="16" t="n">
        <v>100</v>
      </c>
      <c r="H15" s="16" t="inlineStr"/>
      <c r="I15" s="17" t="n">
        <v>0</v>
      </c>
      <c r="J15" s="18">
        <f>IF(E15="0-10 V",10*I15,IF(E15="0-20 mA",20*I15,IF(E15="+/-10 V",-10+20*I15,4+16*I15)))</f>
        <v/>
      </c>
      <c r="K15" s="15">
        <f>IF(E15="+/-10 V",ROUND(-27648+55296*I15,0),ROUND(27648*I15,0))</f>
        <v/>
      </c>
      <c r="L15" s="18">
        <f>F15+I15*(G15-F15)</f>
        <v/>
      </c>
      <c r="M15" s="19" t="n"/>
      <c r="N15" s="18">
        <f>IF(OR(M15="",G15=F15),"",ABS(M15-L15)/ABS(G15-F15)*100)</f>
        <v/>
      </c>
      <c r="O15" s="16" t="n">
        <v>0.5</v>
      </c>
      <c r="P15" s="15">
        <f>IF(N15="","",IF(N15&lt;=O15,"OK","NOK"))</f>
        <v/>
      </c>
      <c r="Q15" s="16" t="n"/>
      <c r="R15" s="16" t="n"/>
      <c r="S15" s="16" t="n"/>
    </row>
    <row r="16">
      <c r="A16" s="14" t="n"/>
      <c r="B16" s="14" t="inlineStr">
        <is>
          <t>LT103_Level</t>
        </is>
      </c>
      <c r="C16" s="14" t="inlineStr">
        <is>
          <t>%IW68</t>
        </is>
      </c>
      <c r="D16" s="14" t="n"/>
      <c r="E16" s="14">
        <f>E15</f>
        <v/>
      </c>
      <c r="F16" s="14">
        <f>F15</f>
        <v/>
      </c>
      <c r="G16" s="14">
        <f>G15</f>
        <v/>
      </c>
      <c r="H16" s="14">
        <f>H15</f>
        <v/>
      </c>
      <c r="I16" s="20" t="n">
        <v>0.25</v>
      </c>
      <c r="J16" s="21">
        <f>IF(E16="0-10 V",10*I16,IF(E16="0-20 mA",20*I16,IF(E16="+/-10 V",-10+20*I16,4+16*I16)))</f>
        <v/>
      </c>
      <c r="K16" s="14">
        <f>IF(E16="+/-10 V",ROUND(-27648+55296*I16,0),ROUND(27648*I16,0))</f>
        <v/>
      </c>
      <c r="L16" s="21">
        <f>F16+I16*(G16-F16)</f>
        <v/>
      </c>
      <c r="M16" s="22" t="n"/>
      <c r="N16" s="21">
        <f>IF(OR(M16="",G16=F16),"",ABS(M16-L16)/ABS(G16-F16)*100)</f>
        <v/>
      </c>
      <c r="O16" s="14">
        <f>O15</f>
        <v/>
      </c>
      <c r="P16" s="14">
        <f>IF(N16="","",IF(N16&lt;=O16,"OK","NOK"))</f>
        <v/>
      </c>
      <c r="Q16" s="13" t="n"/>
      <c r="R16" s="13" t="n"/>
      <c r="S16" s="13" t="n"/>
    </row>
    <row r="17">
      <c r="A17" s="14" t="n"/>
      <c r="B17" s="14" t="inlineStr">
        <is>
          <t>LT103_Level</t>
        </is>
      </c>
      <c r="C17" s="14" t="inlineStr">
        <is>
          <t>%IW68</t>
        </is>
      </c>
      <c r="D17" s="14" t="n"/>
      <c r="E17" s="14">
        <f>E15</f>
        <v/>
      </c>
      <c r="F17" s="14">
        <f>F15</f>
        <v/>
      </c>
      <c r="G17" s="14">
        <f>G15</f>
        <v/>
      </c>
      <c r="H17" s="14">
        <f>H15</f>
        <v/>
      </c>
      <c r="I17" s="20" t="n">
        <v>0.5</v>
      </c>
      <c r="J17" s="21">
        <f>IF(E17="0-10 V",10*I17,IF(E17="0-20 mA",20*I17,IF(E17="+/-10 V",-10+20*I17,4+16*I17)))</f>
        <v/>
      </c>
      <c r="K17" s="14">
        <f>IF(E17="+/-10 V",ROUND(-27648+55296*I17,0),ROUND(27648*I17,0))</f>
        <v/>
      </c>
      <c r="L17" s="21">
        <f>F17+I17*(G17-F17)</f>
        <v/>
      </c>
      <c r="M17" s="22" t="n"/>
      <c r="N17" s="21">
        <f>IF(OR(M17="",G17=F17),"",ABS(M17-L17)/ABS(G17-F17)*100)</f>
        <v/>
      </c>
      <c r="O17" s="14">
        <f>O15</f>
        <v/>
      </c>
      <c r="P17" s="14">
        <f>IF(N17="","",IF(N17&lt;=O17,"OK","NOK"))</f>
        <v/>
      </c>
      <c r="Q17" s="13" t="n"/>
      <c r="R17" s="13" t="n"/>
      <c r="S17" s="13" t="n"/>
    </row>
    <row r="18">
      <c r="A18" s="14" t="n"/>
      <c r="B18" s="14" t="inlineStr">
        <is>
          <t>LT103_Level</t>
        </is>
      </c>
      <c r="C18" s="14" t="inlineStr">
        <is>
          <t>%IW68</t>
        </is>
      </c>
      <c r="D18" s="14" t="n"/>
      <c r="E18" s="14">
        <f>E15</f>
        <v/>
      </c>
      <c r="F18" s="14">
        <f>F15</f>
        <v/>
      </c>
      <c r="G18" s="14">
        <f>G15</f>
        <v/>
      </c>
      <c r="H18" s="14">
        <f>H15</f>
        <v/>
      </c>
      <c r="I18" s="20" t="n">
        <v>0.75</v>
      </c>
      <c r="J18" s="21">
        <f>IF(E18="0-10 V",10*I18,IF(E18="0-20 mA",20*I18,IF(E18="+/-10 V",-10+20*I18,4+16*I18)))</f>
        <v/>
      </c>
      <c r="K18" s="14">
        <f>IF(E18="+/-10 V",ROUND(-27648+55296*I18,0),ROUND(27648*I18,0))</f>
        <v/>
      </c>
      <c r="L18" s="21">
        <f>F18+I18*(G18-F18)</f>
        <v/>
      </c>
      <c r="M18" s="22" t="n"/>
      <c r="N18" s="21">
        <f>IF(OR(M18="",G18=F18),"",ABS(M18-L18)/ABS(G18-F18)*100)</f>
        <v/>
      </c>
      <c r="O18" s="14">
        <f>O15</f>
        <v/>
      </c>
      <c r="P18" s="14">
        <f>IF(N18="","",IF(N18&lt;=O18,"OK","NOK"))</f>
        <v/>
      </c>
      <c r="Q18" s="13" t="n"/>
      <c r="R18" s="13" t="n"/>
      <c r="S18" s="13" t="n"/>
    </row>
    <row r="19">
      <c r="A19" s="14" t="n"/>
      <c r="B19" s="14" t="inlineStr">
        <is>
          <t>LT103_Level</t>
        </is>
      </c>
      <c r="C19" s="14" t="inlineStr">
        <is>
          <t>%IW68</t>
        </is>
      </c>
      <c r="D19" s="14" t="n"/>
      <c r="E19" s="14">
        <f>E15</f>
        <v/>
      </c>
      <c r="F19" s="14">
        <f>F15</f>
        <v/>
      </c>
      <c r="G19" s="14">
        <f>G15</f>
        <v/>
      </c>
      <c r="H19" s="14">
        <f>H15</f>
        <v/>
      </c>
      <c r="I19" s="20" t="n">
        <v>1</v>
      </c>
      <c r="J19" s="21">
        <f>IF(E19="0-10 V",10*I19,IF(E19="0-20 mA",20*I19,IF(E19="+/-10 V",-10+20*I19,4+16*I19)))</f>
        <v/>
      </c>
      <c r="K19" s="14">
        <f>IF(E19="+/-10 V",ROUND(-27648+55296*I19,0),ROUND(27648*I19,0))</f>
        <v/>
      </c>
      <c r="L19" s="21">
        <f>F19+I19*(G19-F19)</f>
        <v/>
      </c>
      <c r="M19" s="22" t="n"/>
      <c r="N19" s="21">
        <f>IF(OR(M19="",G19=F19),"",ABS(M19-L19)/ABS(G19-F19)*100)</f>
        <v/>
      </c>
      <c r="O19" s="14">
        <f>O15</f>
        <v/>
      </c>
      <c r="P19" s="14">
        <f>IF(N19="","",IF(N19&lt;=O19,"OK","NOK"))</f>
        <v/>
      </c>
      <c r="Q19" s="13" t="n"/>
      <c r="R19" s="13" t="n"/>
      <c r="S19" s="13" t="n"/>
    </row>
    <row r="20">
      <c r="A20" s="15" t="n">
        <v>4</v>
      </c>
      <c r="B20" s="15" t="inlineStr">
        <is>
          <t>FT104_Flow</t>
        </is>
      </c>
      <c r="C20" s="15" t="inlineStr">
        <is>
          <t>%IW70</t>
        </is>
      </c>
      <c r="D20" s="15" t="inlineStr">
        <is>
          <t>Cooling water flow</t>
        </is>
      </c>
      <c r="E20" s="16" t="inlineStr">
        <is>
          <t>4-20 mA</t>
        </is>
      </c>
      <c r="F20" s="16" t="n">
        <v>0</v>
      </c>
      <c r="G20" s="16" t="n">
        <v>100</v>
      </c>
      <c r="H20" s="16" t="inlineStr"/>
      <c r="I20" s="17" t="n">
        <v>0</v>
      </c>
      <c r="J20" s="18">
        <f>IF(E20="0-10 V",10*I20,IF(E20="0-20 mA",20*I20,IF(E20="+/-10 V",-10+20*I20,4+16*I20)))</f>
        <v/>
      </c>
      <c r="K20" s="15">
        <f>IF(E20="+/-10 V",ROUND(-27648+55296*I20,0),ROUND(27648*I20,0))</f>
        <v/>
      </c>
      <c r="L20" s="18">
        <f>F20+I20*(G20-F20)</f>
        <v/>
      </c>
      <c r="M20" s="19" t="n"/>
      <c r="N20" s="18">
        <f>IF(OR(M20="",G20=F20),"",ABS(M20-L20)/ABS(G20-F20)*100)</f>
        <v/>
      </c>
      <c r="O20" s="16" t="n">
        <v>0.5</v>
      </c>
      <c r="P20" s="15">
        <f>IF(N20="","",IF(N20&lt;=O20,"OK","NOK"))</f>
        <v/>
      </c>
      <c r="Q20" s="16" t="n"/>
      <c r="R20" s="16" t="n"/>
      <c r="S20" s="16" t="n"/>
    </row>
    <row r="21">
      <c r="A21" s="14" t="n"/>
      <c r="B21" s="14" t="inlineStr">
        <is>
          <t>FT104_Flow</t>
        </is>
      </c>
      <c r="C21" s="14" t="inlineStr">
        <is>
          <t>%IW70</t>
        </is>
      </c>
      <c r="D21" s="14" t="n"/>
      <c r="E21" s="14">
        <f>E20</f>
        <v/>
      </c>
      <c r="F21" s="14">
        <f>F20</f>
        <v/>
      </c>
      <c r="G21" s="14">
        <f>G20</f>
        <v/>
      </c>
      <c r="H21" s="14">
        <f>H20</f>
        <v/>
      </c>
      <c r="I21" s="20" t="n">
        <v>0.25</v>
      </c>
      <c r="J21" s="21">
        <f>IF(E21="0-10 V",10*I21,IF(E21="0-20 mA",20*I21,IF(E21="+/-10 V",-10+20*I21,4+16*I21)))</f>
        <v/>
      </c>
      <c r="K21" s="14">
        <f>IF(E21="+/-10 V",ROUND(-27648+55296*I21,0),ROUND(27648*I21,0))</f>
        <v/>
      </c>
      <c r="L21" s="21">
        <f>F21+I21*(G21-F21)</f>
        <v/>
      </c>
      <c r="M21" s="22" t="n"/>
      <c r="N21" s="21">
        <f>IF(OR(M21="",G21=F21),"",ABS(M21-L21)/ABS(G21-F21)*100)</f>
        <v/>
      </c>
      <c r="O21" s="14">
        <f>O20</f>
        <v/>
      </c>
      <c r="P21" s="14">
        <f>IF(N21="","",IF(N21&lt;=O21,"OK","NOK"))</f>
        <v/>
      </c>
      <c r="Q21" s="13" t="n"/>
      <c r="R21" s="13" t="n"/>
      <c r="S21" s="13" t="n"/>
    </row>
    <row r="22">
      <c r="A22" s="14" t="n"/>
      <c r="B22" s="14" t="inlineStr">
        <is>
          <t>FT104_Flow</t>
        </is>
      </c>
      <c r="C22" s="14" t="inlineStr">
        <is>
          <t>%IW70</t>
        </is>
      </c>
      <c r="D22" s="14" t="n"/>
      <c r="E22" s="14">
        <f>E20</f>
        <v/>
      </c>
      <c r="F22" s="14">
        <f>F20</f>
        <v/>
      </c>
      <c r="G22" s="14">
        <f>G20</f>
        <v/>
      </c>
      <c r="H22" s="14">
        <f>H20</f>
        <v/>
      </c>
      <c r="I22" s="20" t="n">
        <v>0.5</v>
      </c>
      <c r="J22" s="21">
        <f>IF(E22="0-10 V",10*I22,IF(E22="0-20 mA",20*I22,IF(E22="+/-10 V",-10+20*I22,4+16*I22)))</f>
        <v/>
      </c>
      <c r="K22" s="14">
        <f>IF(E22="+/-10 V",ROUND(-27648+55296*I22,0),ROUND(27648*I22,0))</f>
        <v/>
      </c>
      <c r="L22" s="21">
        <f>F22+I22*(G22-F22)</f>
        <v/>
      </c>
      <c r="M22" s="22" t="n"/>
      <c r="N22" s="21">
        <f>IF(OR(M22="",G22=F22),"",ABS(M22-L22)/ABS(G22-F22)*100)</f>
        <v/>
      </c>
      <c r="O22" s="14">
        <f>O20</f>
        <v/>
      </c>
      <c r="P22" s="14">
        <f>IF(N22="","",IF(N22&lt;=O22,"OK","NOK"))</f>
        <v/>
      </c>
      <c r="Q22" s="13" t="n"/>
      <c r="R22" s="13" t="n"/>
      <c r="S22" s="13" t="n"/>
    </row>
    <row r="23">
      <c r="A23" s="14" t="n"/>
      <c r="B23" s="14" t="inlineStr">
        <is>
          <t>FT104_Flow</t>
        </is>
      </c>
      <c r="C23" s="14" t="inlineStr">
        <is>
          <t>%IW70</t>
        </is>
      </c>
      <c r="D23" s="14" t="n"/>
      <c r="E23" s="14">
        <f>E20</f>
        <v/>
      </c>
      <c r="F23" s="14">
        <f>F20</f>
        <v/>
      </c>
      <c r="G23" s="14">
        <f>G20</f>
        <v/>
      </c>
      <c r="H23" s="14">
        <f>H20</f>
        <v/>
      </c>
      <c r="I23" s="20" t="n">
        <v>0.75</v>
      </c>
      <c r="J23" s="21">
        <f>IF(E23="0-10 V",10*I23,IF(E23="0-20 mA",20*I23,IF(E23="+/-10 V",-10+20*I23,4+16*I23)))</f>
        <v/>
      </c>
      <c r="K23" s="14">
        <f>IF(E23="+/-10 V",ROUND(-27648+55296*I23,0),ROUND(27648*I23,0))</f>
        <v/>
      </c>
      <c r="L23" s="21">
        <f>F23+I23*(G23-F23)</f>
        <v/>
      </c>
      <c r="M23" s="22" t="n"/>
      <c r="N23" s="21">
        <f>IF(OR(M23="",G23=F23),"",ABS(M23-L23)/ABS(G23-F23)*100)</f>
        <v/>
      </c>
      <c r="O23" s="14">
        <f>O20</f>
        <v/>
      </c>
      <c r="P23" s="14">
        <f>IF(N23="","",IF(N23&lt;=O23,"OK","NOK"))</f>
        <v/>
      </c>
      <c r="Q23" s="13" t="n"/>
      <c r="R23" s="13" t="n"/>
      <c r="S23" s="13" t="n"/>
    </row>
    <row r="24">
      <c r="A24" s="14" t="n"/>
      <c r="B24" s="14" t="inlineStr">
        <is>
          <t>FT104_Flow</t>
        </is>
      </c>
      <c r="C24" s="14" t="inlineStr">
        <is>
          <t>%IW70</t>
        </is>
      </c>
      <c r="D24" s="14" t="n"/>
      <c r="E24" s="14">
        <f>E20</f>
        <v/>
      </c>
      <c r="F24" s="14">
        <f>F20</f>
        <v/>
      </c>
      <c r="G24" s="14">
        <f>G20</f>
        <v/>
      </c>
      <c r="H24" s="14">
        <f>H20</f>
        <v/>
      </c>
      <c r="I24" s="20" t="n">
        <v>1</v>
      </c>
      <c r="J24" s="21">
        <f>IF(E24="0-10 V",10*I24,IF(E24="0-20 mA",20*I24,IF(E24="+/-10 V",-10+20*I24,4+16*I24)))</f>
        <v/>
      </c>
      <c r="K24" s="14">
        <f>IF(E24="+/-10 V",ROUND(-27648+55296*I24,0),ROUND(27648*I24,0))</f>
        <v/>
      </c>
      <c r="L24" s="21">
        <f>F24+I24*(G24-F24)</f>
        <v/>
      </c>
      <c r="M24" s="22" t="n"/>
      <c r="N24" s="21">
        <f>IF(OR(M24="",G24=F24),"",ABS(M24-L24)/ABS(G24-F24)*100)</f>
        <v/>
      </c>
      <c r="O24" s="14">
        <f>O20</f>
        <v/>
      </c>
      <c r="P24" s="14">
        <f>IF(N24="","",IF(N24&lt;=O24,"OK","NOK"))</f>
        <v/>
      </c>
      <c r="Q24" s="13" t="n"/>
      <c r="R24" s="13" t="n"/>
      <c r="S24" s="13" t="n"/>
    </row>
  </sheetData>
  <autoFilter ref="A4:S24"/>
  <conditionalFormatting sqref="P5:P24">
    <cfRule type="cellIs" priority="1" operator="equal" dxfId="0">
      <formula>"OK"</formula>
    </cfRule>
    <cfRule type="cellIs" priority="2" operator="equal" dxfId="1">
      <formula>"NOK"</formula>
    </cfRule>
    <cfRule type="cellIs" priority="3" operator="equal" dxfId="2">
      <formula>"N/A"</formula>
    </cfRule>
  </conditionalFormatting>
  <dataValidations count="2">
    <dataValidation sqref="E5 E10 E15 E20" showDropDown="0" showInputMessage="0" showErrorMessage="0" allowBlank="0" type="list">
      <formula1>"4-20 mA,0-20 mA,0-10 V,+/-10 V"</formula1>
    </dataValidation>
    <dataValidation sqref="P5:P24" showDropDown="0" showInputMessage="0" showErrorMessage="0" allowBlank="1" type="list">
      <formula1>"OK,NOK,N/A"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&amp;LPackaging Line 3 CP-0001&amp;C&amp;P / &amp;N&amp;RCommissionPack 0.1.0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28" customWidth="1" min="4" max="4"/>
    <col width="10" customWidth="1" min="5" max="5"/>
    <col width="9" customWidth="1" min="6" max="6"/>
    <col width="9" customWidth="1" min="7" max="7"/>
    <col width="7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8" customWidth="1" min="16" max="16"/>
    <col width="12" customWidth="1" min="17" max="17"/>
    <col width="11" customWidth="1" min="18" max="18"/>
    <col width="22" customWidth="1" min="19" max="19"/>
  </cols>
  <sheetData>
    <row r="1">
      <c r="A1" s="4" t="inlineStr">
        <is>
          <t>AO Loop Check - Packaging Line 3</t>
        </is>
      </c>
    </row>
    <row r="2">
      <c r="A2" s="8" t="inlineStr">
        <is>
          <t>Customer: Sample Customer   |   Machine / Line: Infeed conveyor + hydraulic press   |   Document No.: CP-0001   |   Revision: 0</t>
        </is>
      </c>
    </row>
    <row r="3">
      <c r="A3" s="8" t="inlineStr">
        <is>
          <t>Method: set the value in the PLC watch table. Measure the signal at the terminal. Convert it to engineering units and enter it. Status is calculated automatically.</t>
        </is>
      </c>
    </row>
    <row r="4" ht="32" customHeight="1">
      <c r="A4" s="9" t="inlineStr">
        <is>
          <t>No.</t>
        </is>
      </c>
      <c r="B4" s="9" t="inlineStr">
        <is>
          <t>Tag</t>
        </is>
      </c>
      <c r="C4" s="9" t="inlineStr">
        <is>
          <t>Address</t>
        </is>
      </c>
      <c r="D4" s="9" t="inlineStr">
        <is>
          <t>Comment</t>
        </is>
      </c>
      <c r="E4" s="9" t="inlineStr">
        <is>
          <t>Signal</t>
        </is>
      </c>
      <c r="F4" s="9" t="inlineStr">
        <is>
          <t>Range min</t>
        </is>
      </c>
      <c r="G4" s="9" t="inlineStr">
        <is>
          <t>Range max</t>
        </is>
      </c>
      <c r="H4" s="9" t="inlineStr">
        <is>
          <t>Unit</t>
        </is>
      </c>
      <c r="I4" s="9" t="inlineStr">
        <is>
          <t>Test point</t>
        </is>
      </c>
      <c r="J4" s="9" t="inlineStr">
        <is>
          <t>Expected signal</t>
        </is>
      </c>
      <c r="K4" s="9" t="inlineStr">
        <is>
          <t>Raw value (S7)</t>
        </is>
      </c>
      <c r="L4" s="9" t="inlineStr">
        <is>
          <t>Expected value</t>
        </is>
      </c>
      <c r="M4" s="9" t="inlineStr">
        <is>
          <t>Measured value</t>
        </is>
      </c>
      <c r="N4" s="9" t="inlineStr">
        <is>
          <t>Deviation % of span</t>
        </is>
      </c>
      <c r="O4" s="9" t="inlineStr">
        <is>
          <t>Tolerance %</t>
        </is>
      </c>
      <c r="P4" s="9" t="inlineStr">
        <is>
          <t>Status</t>
        </is>
      </c>
      <c r="Q4" s="9" t="inlineStr">
        <is>
          <t>Tested by</t>
        </is>
      </c>
      <c r="R4" s="9" t="inlineStr">
        <is>
          <t>Date</t>
        </is>
      </c>
      <c r="S4" s="9" t="inlineStr">
        <is>
          <t>Remarks</t>
        </is>
      </c>
    </row>
    <row r="5">
      <c r="A5" s="15" t="n">
        <v>1</v>
      </c>
      <c r="B5" s="15" t="inlineStr">
        <is>
          <t>VFD1_SpeedSP</t>
        </is>
      </c>
      <c r="C5" s="15" t="inlineStr">
        <is>
          <t>%QW80</t>
        </is>
      </c>
      <c r="D5" s="15" t="inlineStr">
        <is>
          <t>Conveyor speed setpoint to drive</t>
        </is>
      </c>
      <c r="E5" s="16" t="inlineStr">
        <is>
          <t>4-20 mA</t>
        </is>
      </c>
      <c r="F5" s="16" t="n">
        <v>0</v>
      </c>
      <c r="G5" s="16" t="n">
        <v>100</v>
      </c>
      <c r="H5" s="16" t="inlineStr"/>
      <c r="I5" s="17" t="n">
        <v>0</v>
      </c>
      <c r="J5" s="18">
        <f>IF(E5="0-10 V",10*I5,IF(E5="0-20 mA",20*I5,IF(E5="+/-10 V",-10+20*I5,4+16*I5)))</f>
        <v/>
      </c>
      <c r="K5" s="15">
        <f>IF(E5="+/-10 V",ROUND(-27648+55296*I5,0),ROUND(27648*I5,0))</f>
        <v/>
      </c>
      <c r="L5" s="18">
        <f>F5+I5*(G5-F5)</f>
        <v/>
      </c>
      <c r="M5" s="19" t="n"/>
      <c r="N5" s="18">
        <f>IF(OR(M5="",G5=F5),"",ABS(M5-L5)/ABS(G5-F5)*100)</f>
        <v/>
      </c>
      <c r="O5" s="16" t="n">
        <v>0.5</v>
      </c>
      <c r="P5" s="15">
        <f>IF(N5="","",IF(N5&lt;=O5,"OK","NOK"))</f>
        <v/>
      </c>
      <c r="Q5" s="16" t="n"/>
      <c r="R5" s="16" t="n"/>
      <c r="S5" s="16" t="n"/>
    </row>
    <row r="6">
      <c r="A6" s="14" t="n"/>
      <c r="B6" s="14" t="inlineStr">
        <is>
          <t>VFD1_SpeedSP</t>
        </is>
      </c>
      <c r="C6" s="14" t="inlineStr">
        <is>
          <t>%QW80</t>
        </is>
      </c>
      <c r="D6" s="14" t="n"/>
      <c r="E6" s="14">
        <f>E5</f>
        <v/>
      </c>
      <c r="F6" s="14">
        <f>F5</f>
        <v/>
      </c>
      <c r="G6" s="14">
        <f>G5</f>
        <v/>
      </c>
      <c r="H6" s="14">
        <f>H5</f>
        <v/>
      </c>
      <c r="I6" s="20" t="n">
        <v>0.25</v>
      </c>
      <c r="J6" s="21">
        <f>IF(E6="0-10 V",10*I6,IF(E6="0-20 mA",20*I6,IF(E6="+/-10 V",-10+20*I6,4+16*I6)))</f>
        <v/>
      </c>
      <c r="K6" s="14">
        <f>IF(E6="+/-10 V",ROUND(-27648+55296*I6,0),ROUND(27648*I6,0))</f>
        <v/>
      </c>
      <c r="L6" s="21">
        <f>F6+I6*(G6-F6)</f>
        <v/>
      </c>
      <c r="M6" s="22" t="n"/>
      <c r="N6" s="21">
        <f>IF(OR(M6="",G6=F6),"",ABS(M6-L6)/ABS(G6-F6)*100)</f>
        <v/>
      </c>
      <c r="O6" s="14">
        <f>O5</f>
        <v/>
      </c>
      <c r="P6" s="14">
        <f>IF(N6="","",IF(N6&lt;=O6,"OK","NOK"))</f>
        <v/>
      </c>
      <c r="Q6" s="13" t="n"/>
      <c r="R6" s="13" t="n"/>
      <c r="S6" s="13" t="n"/>
    </row>
    <row r="7">
      <c r="A7" s="14" t="n"/>
      <c r="B7" s="14" t="inlineStr">
        <is>
          <t>VFD1_SpeedSP</t>
        </is>
      </c>
      <c r="C7" s="14" t="inlineStr">
        <is>
          <t>%QW80</t>
        </is>
      </c>
      <c r="D7" s="14" t="n"/>
      <c r="E7" s="14">
        <f>E5</f>
        <v/>
      </c>
      <c r="F7" s="14">
        <f>F5</f>
        <v/>
      </c>
      <c r="G7" s="14">
        <f>G5</f>
        <v/>
      </c>
      <c r="H7" s="14">
        <f>H5</f>
        <v/>
      </c>
      <c r="I7" s="20" t="n">
        <v>0.5</v>
      </c>
      <c r="J7" s="21">
        <f>IF(E7="0-10 V",10*I7,IF(E7="0-20 mA",20*I7,IF(E7="+/-10 V",-10+20*I7,4+16*I7)))</f>
        <v/>
      </c>
      <c r="K7" s="14">
        <f>IF(E7="+/-10 V",ROUND(-27648+55296*I7,0),ROUND(27648*I7,0))</f>
        <v/>
      </c>
      <c r="L7" s="21">
        <f>F7+I7*(G7-F7)</f>
        <v/>
      </c>
      <c r="M7" s="22" t="n"/>
      <c r="N7" s="21">
        <f>IF(OR(M7="",G7=F7),"",ABS(M7-L7)/ABS(G7-F7)*100)</f>
        <v/>
      </c>
      <c r="O7" s="14">
        <f>O5</f>
        <v/>
      </c>
      <c r="P7" s="14">
        <f>IF(N7="","",IF(N7&lt;=O7,"OK","NOK"))</f>
        <v/>
      </c>
      <c r="Q7" s="13" t="n"/>
      <c r="R7" s="13" t="n"/>
      <c r="S7" s="13" t="n"/>
    </row>
    <row r="8">
      <c r="A8" s="14" t="n"/>
      <c r="B8" s="14" t="inlineStr">
        <is>
          <t>VFD1_SpeedSP</t>
        </is>
      </c>
      <c r="C8" s="14" t="inlineStr">
        <is>
          <t>%QW80</t>
        </is>
      </c>
      <c r="D8" s="14" t="n"/>
      <c r="E8" s="14">
        <f>E5</f>
        <v/>
      </c>
      <c r="F8" s="14">
        <f>F5</f>
        <v/>
      </c>
      <c r="G8" s="14">
        <f>G5</f>
        <v/>
      </c>
      <c r="H8" s="14">
        <f>H5</f>
        <v/>
      </c>
      <c r="I8" s="20" t="n">
        <v>0.75</v>
      </c>
      <c r="J8" s="21">
        <f>IF(E8="0-10 V",10*I8,IF(E8="0-20 mA",20*I8,IF(E8="+/-10 V",-10+20*I8,4+16*I8)))</f>
        <v/>
      </c>
      <c r="K8" s="14">
        <f>IF(E8="+/-10 V",ROUND(-27648+55296*I8,0),ROUND(27648*I8,0))</f>
        <v/>
      </c>
      <c r="L8" s="21">
        <f>F8+I8*(G8-F8)</f>
        <v/>
      </c>
      <c r="M8" s="22" t="n"/>
      <c r="N8" s="21">
        <f>IF(OR(M8="",G8=F8),"",ABS(M8-L8)/ABS(G8-F8)*100)</f>
        <v/>
      </c>
      <c r="O8" s="14">
        <f>O5</f>
        <v/>
      </c>
      <c r="P8" s="14">
        <f>IF(N8="","",IF(N8&lt;=O8,"OK","NOK"))</f>
        <v/>
      </c>
      <c r="Q8" s="13" t="n"/>
      <c r="R8" s="13" t="n"/>
      <c r="S8" s="13" t="n"/>
    </row>
    <row r="9">
      <c r="A9" s="14" t="n"/>
      <c r="B9" s="14" t="inlineStr">
        <is>
          <t>VFD1_SpeedSP</t>
        </is>
      </c>
      <c r="C9" s="14" t="inlineStr">
        <is>
          <t>%QW80</t>
        </is>
      </c>
      <c r="D9" s="14" t="n"/>
      <c r="E9" s="14">
        <f>E5</f>
        <v/>
      </c>
      <c r="F9" s="14">
        <f>F5</f>
        <v/>
      </c>
      <c r="G9" s="14">
        <f>G5</f>
        <v/>
      </c>
      <c r="H9" s="14">
        <f>H5</f>
        <v/>
      </c>
      <c r="I9" s="20" t="n">
        <v>1</v>
      </c>
      <c r="J9" s="21">
        <f>IF(E9="0-10 V",10*I9,IF(E9="0-20 mA",20*I9,IF(E9="+/-10 V",-10+20*I9,4+16*I9)))</f>
        <v/>
      </c>
      <c r="K9" s="14">
        <f>IF(E9="+/-10 V",ROUND(-27648+55296*I9,0),ROUND(27648*I9,0))</f>
        <v/>
      </c>
      <c r="L9" s="21">
        <f>F9+I9*(G9-F9)</f>
        <v/>
      </c>
      <c r="M9" s="22" t="n"/>
      <c r="N9" s="21">
        <f>IF(OR(M9="",G9=F9),"",ABS(M9-L9)/ABS(G9-F9)*100)</f>
        <v/>
      </c>
      <c r="O9" s="14">
        <f>O5</f>
        <v/>
      </c>
      <c r="P9" s="14">
        <f>IF(N9="","",IF(N9&lt;=O9,"OK","NOK"))</f>
        <v/>
      </c>
      <c r="Q9" s="13" t="n"/>
      <c r="R9" s="13" t="n"/>
      <c r="S9" s="13" t="n"/>
    </row>
    <row r="10">
      <c r="A10" s="15" t="n">
        <v>2</v>
      </c>
      <c r="B10" s="15" t="inlineStr">
        <is>
          <t>PV201_Position</t>
        </is>
      </c>
      <c r="C10" s="15" t="inlineStr">
        <is>
          <t>%QW82</t>
        </is>
      </c>
      <c r="D10" s="15" t="inlineStr">
        <is>
          <t>Proportional valve position setpoint</t>
        </is>
      </c>
      <c r="E10" s="16" t="inlineStr">
        <is>
          <t>4-20 mA</t>
        </is>
      </c>
      <c r="F10" s="16" t="n">
        <v>0</v>
      </c>
      <c r="G10" s="16" t="n">
        <v>100</v>
      </c>
      <c r="H10" s="16" t="inlineStr"/>
      <c r="I10" s="17" t="n">
        <v>0</v>
      </c>
      <c r="J10" s="18">
        <f>IF(E10="0-10 V",10*I10,IF(E10="0-20 mA",20*I10,IF(E10="+/-10 V",-10+20*I10,4+16*I10)))</f>
        <v/>
      </c>
      <c r="K10" s="15">
        <f>IF(E10="+/-10 V",ROUND(-27648+55296*I10,0),ROUND(27648*I10,0))</f>
        <v/>
      </c>
      <c r="L10" s="18">
        <f>F10+I10*(G10-F10)</f>
        <v/>
      </c>
      <c r="M10" s="19" t="n"/>
      <c r="N10" s="18">
        <f>IF(OR(M10="",G10=F10),"",ABS(M10-L10)/ABS(G10-F10)*100)</f>
        <v/>
      </c>
      <c r="O10" s="16" t="n">
        <v>0.5</v>
      </c>
      <c r="P10" s="15">
        <f>IF(N10="","",IF(N10&lt;=O10,"OK","NOK"))</f>
        <v/>
      </c>
      <c r="Q10" s="16" t="n"/>
      <c r="R10" s="16" t="n"/>
      <c r="S10" s="16" t="n"/>
    </row>
    <row r="11">
      <c r="A11" s="14" t="n"/>
      <c r="B11" s="14" t="inlineStr">
        <is>
          <t>PV201_Position</t>
        </is>
      </c>
      <c r="C11" s="14" t="inlineStr">
        <is>
          <t>%QW82</t>
        </is>
      </c>
      <c r="D11" s="14" t="n"/>
      <c r="E11" s="14">
        <f>E10</f>
        <v/>
      </c>
      <c r="F11" s="14">
        <f>F10</f>
        <v/>
      </c>
      <c r="G11" s="14">
        <f>G10</f>
        <v/>
      </c>
      <c r="H11" s="14">
        <f>H10</f>
        <v/>
      </c>
      <c r="I11" s="20" t="n">
        <v>0.25</v>
      </c>
      <c r="J11" s="21">
        <f>IF(E11="0-10 V",10*I11,IF(E11="0-20 mA",20*I11,IF(E11="+/-10 V",-10+20*I11,4+16*I11)))</f>
        <v/>
      </c>
      <c r="K11" s="14">
        <f>IF(E11="+/-10 V",ROUND(-27648+55296*I11,0),ROUND(27648*I11,0))</f>
        <v/>
      </c>
      <c r="L11" s="21">
        <f>F11+I11*(G11-F11)</f>
        <v/>
      </c>
      <c r="M11" s="22" t="n"/>
      <c r="N11" s="21">
        <f>IF(OR(M11="",G11=F11),"",ABS(M11-L11)/ABS(G11-F11)*100)</f>
        <v/>
      </c>
      <c r="O11" s="14">
        <f>O10</f>
        <v/>
      </c>
      <c r="P11" s="14">
        <f>IF(N11="","",IF(N11&lt;=O11,"OK","NOK"))</f>
        <v/>
      </c>
      <c r="Q11" s="13" t="n"/>
      <c r="R11" s="13" t="n"/>
      <c r="S11" s="13" t="n"/>
    </row>
    <row r="12">
      <c r="A12" s="14" t="n"/>
      <c r="B12" s="14" t="inlineStr">
        <is>
          <t>PV201_Position</t>
        </is>
      </c>
      <c r="C12" s="14" t="inlineStr">
        <is>
          <t>%QW82</t>
        </is>
      </c>
      <c r="D12" s="14" t="n"/>
      <c r="E12" s="14">
        <f>E10</f>
        <v/>
      </c>
      <c r="F12" s="14">
        <f>F10</f>
        <v/>
      </c>
      <c r="G12" s="14">
        <f>G10</f>
        <v/>
      </c>
      <c r="H12" s="14">
        <f>H10</f>
        <v/>
      </c>
      <c r="I12" s="20" t="n">
        <v>0.5</v>
      </c>
      <c r="J12" s="21">
        <f>IF(E12="0-10 V",10*I12,IF(E12="0-20 mA",20*I12,IF(E12="+/-10 V",-10+20*I12,4+16*I12)))</f>
        <v/>
      </c>
      <c r="K12" s="14">
        <f>IF(E12="+/-10 V",ROUND(-27648+55296*I12,0),ROUND(27648*I12,0))</f>
        <v/>
      </c>
      <c r="L12" s="21">
        <f>F12+I12*(G12-F12)</f>
        <v/>
      </c>
      <c r="M12" s="22" t="n"/>
      <c r="N12" s="21">
        <f>IF(OR(M12="",G12=F12),"",ABS(M12-L12)/ABS(G12-F12)*100)</f>
        <v/>
      </c>
      <c r="O12" s="14">
        <f>O10</f>
        <v/>
      </c>
      <c r="P12" s="14">
        <f>IF(N12="","",IF(N12&lt;=O12,"OK","NOK"))</f>
        <v/>
      </c>
      <c r="Q12" s="13" t="n"/>
      <c r="R12" s="13" t="n"/>
      <c r="S12" s="13" t="n"/>
    </row>
    <row r="13">
      <c r="A13" s="14" t="n"/>
      <c r="B13" s="14" t="inlineStr">
        <is>
          <t>PV201_Position</t>
        </is>
      </c>
      <c r="C13" s="14" t="inlineStr">
        <is>
          <t>%QW82</t>
        </is>
      </c>
      <c r="D13" s="14" t="n"/>
      <c r="E13" s="14">
        <f>E10</f>
        <v/>
      </c>
      <c r="F13" s="14">
        <f>F10</f>
        <v/>
      </c>
      <c r="G13" s="14">
        <f>G10</f>
        <v/>
      </c>
      <c r="H13" s="14">
        <f>H10</f>
        <v/>
      </c>
      <c r="I13" s="20" t="n">
        <v>0.75</v>
      </c>
      <c r="J13" s="21">
        <f>IF(E13="0-10 V",10*I13,IF(E13="0-20 mA",20*I13,IF(E13="+/-10 V",-10+20*I13,4+16*I13)))</f>
        <v/>
      </c>
      <c r="K13" s="14">
        <f>IF(E13="+/-10 V",ROUND(-27648+55296*I13,0),ROUND(27648*I13,0))</f>
        <v/>
      </c>
      <c r="L13" s="21">
        <f>F13+I13*(G13-F13)</f>
        <v/>
      </c>
      <c r="M13" s="22" t="n"/>
      <c r="N13" s="21">
        <f>IF(OR(M13="",G13=F13),"",ABS(M13-L13)/ABS(G13-F13)*100)</f>
        <v/>
      </c>
      <c r="O13" s="14">
        <f>O10</f>
        <v/>
      </c>
      <c r="P13" s="14">
        <f>IF(N13="","",IF(N13&lt;=O13,"OK","NOK"))</f>
        <v/>
      </c>
      <c r="Q13" s="13" t="n"/>
      <c r="R13" s="13" t="n"/>
      <c r="S13" s="13" t="n"/>
    </row>
    <row r="14">
      <c r="A14" s="14" t="n"/>
      <c r="B14" s="14" t="inlineStr">
        <is>
          <t>PV201_Position</t>
        </is>
      </c>
      <c r="C14" s="14" t="inlineStr">
        <is>
          <t>%QW82</t>
        </is>
      </c>
      <c r="D14" s="14" t="n"/>
      <c r="E14" s="14">
        <f>E10</f>
        <v/>
      </c>
      <c r="F14" s="14">
        <f>F10</f>
        <v/>
      </c>
      <c r="G14" s="14">
        <f>G10</f>
        <v/>
      </c>
      <c r="H14" s="14">
        <f>H10</f>
        <v/>
      </c>
      <c r="I14" s="20" t="n">
        <v>1</v>
      </c>
      <c r="J14" s="21">
        <f>IF(E14="0-10 V",10*I14,IF(E14="0-20 mA",20*I14,IF(E14="+/-10 V",-10+20*I14,4+16*I14)))</f>
        <v/>
      </c>
      <c r="K14" s="14">
        <f>IF(E14="+/-10 V",ROUND(-27648+55296*I14,0),ROUND(27648*I14,0))</f>
        <v/>
      </c>
      <c r="L14" s="21">
        <f>F14+I14*(G14-F14)</f>
        <v/>
      </c>
      <c r="M14" s="22" t="n"/>
      <c r="N14" s="21">
        <f>IF(OR(M14="",G14=F14),"",ABS(M14-L14)/ABS(G14-F14)*100)</f>
        <v/>
      </c>
      <c r="O14" s="14">
        <f>O10</f>
        <v/>
      </c>
      <c r="P14" s="14">
        <f>IF(N14="","",IF(N14&lt;=O14,"OK","NOK"))</f>
        <v/>
      </c>
      <c r="Q14" s="13" t="n"/>
      <c r="R14" s="13" t="n"/>
      <c r="S14" s="13" t="n"/>
    </row>
  </sheetData>
  <autoFilter ref="A4:S14"/>
  <conditionalFormatting sqref="P5:P14">
    <cfRule type="cellIs" priority="1" operator="equal" dxfId="0">
      <formula>"OK"</formula>
    </cfRule>
    <cfRule type="cellIs" priority="2" operator="equal" dxfId="1">
      <formula>"NOK"</formula>
    </cfRule>
    <cfRule type="cellIs" priority="3" operator="equal" dxfId="2">
      <formula>"N/A"</formula>
    </cfRule>
  </conditionalFormatting>
  <dataValidations count="2">
    <dataValidation sqref="E5 E10" showDropDown="0" showInputMessage="0" showErrorMessage="0" allowBlank="0" type="list">
      <formula1>"4-20 mA,0-20 mA,0-10 V,+/-10 V"</formula1>
    </dataValidation>
    <dataValidation sqref="P5:P14" showDropDown="0" showInputMessage="0" showErrorMessage="0" allowBlank="1" type="list">
      <formula1>"OK,NOK,N/A"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&amp;LPackaging Line 3 CP-0001&amp;C&amp;P / &amp;N&amp;RCommissionPack 0.1.0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pane ySplit="4" topLeftCell="A5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60" customWidth="1" min="3" max="3"/>
    <col width="36" customWidth="1" min="4" max="4"/>
    <col width="9" customWidth="1" min="5" max="5"/>
    <col width="30" customWidth="1" min="6" max="6"/>
    <col width="14" customWidth="1" min="7" max="7"/>
    <col width="12" customWidth="1" min="8" max="8"/>
  </cols>
  <sheetData>
    <row r="1">
      <c r="A1" s="4" t="inlineStr">
        <is>
          <t>FAT Protocol - Packaging Line 3</t>
        </is>
      </c>
    </row>
    <row r="2">
      <c r="A2" s="8" t="inlineStr">
        <is>
          <t>Customer: Sample Customer   |   Machine / Line: Infeed conveyor + hydraulic press   |   Document No.: CP-0001   |   Revision: 0</t>
        </is>
      </c>
    </row>
    <row r="4" ht="32" customHeight="1">
      <c r="A4" s="9" t="inlineStr">
        <is>
          <t>No.</t>
        </is>
      </c>
      <c r="B4" s="9" t="inlineStr">
        <is>
          <t>Section</t>
        </is>
      </c>
      <c r="C4" s="9" t="inlineStr">
        <is>
          <t>Check item</t>
        </is>
      </c>
      <c r="D4" s="9" t="inlineStr">
        <is>
          <t>Acceptance criterion</t>
        </is>
      </c>
      <c r="E4" s="9" t="inlineStr">
        <is>
          <t>Status</t>
        </is>
      </c>
      <c r="F4" s="9" t="inlineStr">
        <is>
          <t>Remarks</t>
        </is>
      </c>
      <c r="G4" s="9" t="inlineStr">
        <is>
          <t>Tested by</t>
        </is>
      </c>
      <c r="H4" s="9" t="inlineStr">
        <is>
          <t>Date</t>
        </is>
      </c>
    </row>
    <row r="5">
      <c r="A5" s="23" t="n">
        <v>1</v>
      </c>
      <c r="B5" s="23" t="inlineStr">
        <is>
          <t>Documentation</t>
        </is>
      </c>
      <c r="C5" s="14" t="inlineStr">
        <is>
          <t>Electrical drawings are the current revision and match the panel.</t>
        </is>
      </c>
      <c r="D5" s="14" t="inlineStr">
        <is>
          <t>No difference found, or differences recorded in the punch list.</t>
        </is>
      </c>
      <c r="E5" s="13" t="n"/>
      <c r="F5" s="13" t="n"/>
      <c r="G5" s="13" t="n"/>
      <c r="H5" s="13" t="n"/>
    </row>
    <row r="6">
      <c r="A6" s="14" t="n">
        <v>2</v>
      </c>
      <c r="B6" s="14" t="inlineStr">
        <is>
          <t>Documentation</t>
        </is>
      </c>
      <c r="C6" s="14" t="inlineStr">
        <is>
          <t>IO list matches the drawings and the PLC tag table.</t>
        </is>
      </c>
      <c r="D6" s="14" t="inlineStr">
        <is>
          <t>100 % match.</t>
        </is>
      </c>
      <c r="E6" s="13" t="n"/>
      <c r="F6" s="13" t="n"/>
      <c r="G6" s="13" t="n"/>
      <c r="H6" s="13" t="n"/>
    </row>
    <row r="7">
      <c r="A7" s="14" t="n">
        <v>3</v>
      </c>
      <c r="B7" s="14" t="inlineStr">
        <is>
          <t>Documentation</t>
        </is>
      </c>
      <c r="C7" s="14" t="inlineStr">
        <is>
          <t>PLC / HMI / drive software versions are recorded (name, version, date).</t>
        </is>
      </c>
      <c r="D7" s="14" t="inlineStr">
        <is>
          <t>Versions written in the remarks.</t>
        </is>
      </c>
      <c r="E7" s="13" t="n"/>
      <c r="F7" s="13" t="n"/>
      <c r="G7" s="13" t="n"/>
      <c r="H7" s="13" t="n"/>
    </row>
    <row r="8">
      <c r="A8" s="23" t="n">
        <v>4</v>
      </c>
      <c r="B8" s="23" t="inlineStr">
        <is>
          <t>Panel inspection</t>
        </is>
      </c>
      <c r="C8" s="14" t="inlineStr">
        <is>
          <t>Labels, wire markers and terminal numbers match the drawings.</t>
        </is>
      </c>
      <c r="D8" s="14" t="inlineStr">
        <is>
          <t>Visual check OK.</t>
        </is>
      </c>
      <c r="E8" s="13" t="n"/>
      <c r="F8" s="13" t="n"/>
      <c r="G8" s="13" t="n"/>
      <c r="H8" s="13" t="n"/>
    </row>
    <row r="9">
      <c r="A9" s="14" t="n">
        <v>5</v>
      </c>
      <c r="B9" s="14" t="inlineStr">
        <is>
          <t>Panel inspection</t>
        </is>
      </c>
      <c r="C9" s="14" t="inlineStr">
        <is>
          <t>PE connections are complete and tight.</t>
        </is>
      </c>
      <c r="D9" s="14" t="inlineStr">
        <is>
          <t>Continuity test done, values recorded.</t>
        </is>
      </c>
      <c r="E9" s="13" t="n"/>
      <c r="F9" s="13" t="n"/>
      <c r="G9" s="13" t="n"/>
      <c r="H9" s="13" t="n"/>
    </row>
    <row r="10">
      <c r="A10" s="14" t="n">
        <v>6</v>
      </c>
      <c r="B10" s="14" t="inlineStr">
        <is>
          <t>Panel inspection</t>
        </is>
      </c>
      <c r="C10" s="14" t="inlineStr">
        <is>
          <t>Fuse, MCB and overload settings match the drawings.</t>
        </is>
      </c>
      <c r="D10" s="14" t="inlineStr">
        <is>
          <t>All values checked.</t>
        </is>
      </c>
      <c r="E10" s="13" t="n"/>
      <c r="F10" s="13" t="n"/>
      <c r="G10" s="13" t="n"/>
      <c r="H10" s="13" t="n"/>
    </row>
    <row r="11">
      <c r="A11" s="23" t="n">
        <v>7</v>
      </c>
      <c r="B11" s="23" t="inlineStr">
        <is>
          <t>Power-up</t>
        </is>
      </c>
      <c r="C11" s="14" t="inlineStr">
        <is>
          <t>Insulation and continuity tests are done before power-up.</t>
        </is>
      </c>
      <c r="D11" s="14" t="inlineStr">
        <is>
          <t>Test report attached.</t>
        </is>
      </c>
      <c r="E11" s="13" t="n"/>
      <c r="F11" s="13" t="n"/>
      <c r="G11" s="13" t="n"/>
      <c r="H11" s="13" t="n"/>
    </row>
    <row r="12">
      <c r="A12" s="14" t="n">
        <v>8</v>
      </c>
      <c r="B12" s="14" t="inlineStr">
        <is>
          <t>Power-up</t>
        </is>
      </c>
      <c r="C12" s="14" t="inlineStr">
        <is>
          <t>Supply voltages (AC and 24 VDC) are within tolerance.</t>
        </is>
      </c>
      <c r="D12" s="14" t="inlineStr">
        <is>
          <t>Measured values recorded.</t>
        </is>
      </c>
      <c r="E12" s="13" t="n"/>
      <c r="F12" s="13" t="n"/>
      <c r="G12" s="13" t="n"/>
      <c r="H12" s="13" t="n"/>
    </row>
    <row r="13">
      <c r="A13" s="14" t="n">
        <v>9</v>
      </c>
      <c r="B13" s="14" t="inlineStr">
        <is>
          <t>Power-up</t>
        </is>
      </c>
      <c r="C13" s="14" t="inlineStr">
        <is>
          <t>PLC, IO modules and HMI start without errors.</t>
        </is>
      </c>
      <c r="D13" s="14" t="inlineStr">
        <is>
          <t>Diagnostic buffer has no active errors.</t>
        </is>
      </c>
      <c r="E13" s="13" t="n"/>
      <c r="F13" s="13" t="n"/>
      <c r="G13" s="13" t="n"/>
      <c r="H13" s="13" t="n"/>
    </row>
    <row r="14">
      <c r="A14" s="23" t="n">
        <v>10</v>
      </c>
      <c r="B14" s="23" t="inlineStr">
        <is>
          <t>Communication</t>
        </is>
      </c>
      <c r="C14" s="14" t="inlineStr">
        <is>
          <t>All network devices are online. Device names and IP addresses match the network list.</t>
        </is>
      </c>
      <c r="D14" s="14" t="inlineStr">
        <is>
          <t>No device fault in the PLC.</t>
        </is>
      </c>
      <c r="E14" s="13" t="n"/>
      <c r="F14" s="13" t="n"/>
      <c r="G14" s="13" t="n"/>
      <c r="H14" s="13" t="n"/>
    </row>
    <row r="15">
      <c r="A15" s="14" t="n">
        <v>11</v>
      </c>
      <c r="B15" s="14" t="inlineStr">
        <is>
          <t>Communication</t>
        </is>
      </c>
      <c r="C15" s="14" t="inlineStr">
        <is>
          <t>Disconnect one network device. Check the communication alarm.</t>
        </is>
      </c>
      <c r="D15" s="14" t="inlineStr">
        <is>
          <t>Alarm appears with the correct text. Machine goes to a safe state.</t>
        </is>
      </c>
      <c r="E15" s="13" t="n"/>
      <c r="F15" s="13" t="n"/>
      <c r="G15" s="13" t="n"/>
      <c r="H15" s="13" t="n"/>
    </row>
    <row r="16">
      <c r="A16" s="23" t="n">
        <v>12</v>
      </c>
      <c r="B16" s="23" t="inlineStr">
        <is>
          <t>IO tests</t>
        </is>
      </c>
      <c r="C16" s="14" t="inlineStr">
        <is>
          <t>Digital input checkout (20 IO points)</t>
        </is>
      </c>
      <c r="D16" s="14" t="inlineStr">
        <is>
          <t>100 % OK, see sheet 'DI Checkout'.</t>
        </is>
      </c>
      <c r="E16" s="14">
        <f>IF('Summary'!B5=0,"N/A",IF('Summary'!G5&gt;=1,"OK",""))</f>
        <v/>
      </c>
      <c r="F16" s="14">
        <f>IF('Summary'!B5=0,"","Complete: "&amp;TEXT('Summary'!G5,"0%"))</f>
        <v/>
      </c>
      <c r="G16" s="13" t="n"/>
      <c r="H16" s="13" t="n"/>
    </row>
    <row r="17">
      <c r="A17" s="14" t="n">
        <v>13</v>
      </c>
      <c r="B17" s="14" t="inlineStr">
        <is>
          <t>IO tests</t>
        </is>
      </c>
      <c r="C17" s="14" t="inlineStr">
        <is>
          <t>Digital output checkout (9 IO points)</t>
        </is>
      </c>
      <c r="D17" s="14" t="inlineStr">
        <is>
          <t>100 % OK, see sheet 'DO Checkout'.</t>
        </is>
      </c>
      <c r="E17" s="14">
        <f>IF('Summary'!B6=0,"N/A",IF('Summary'!G6&gt;=1,"OK",""))</f>
        <v/>
      </c>
      <c r="F17" s="14">
        <f>IF('Summary'!B6=0,"","Complete: "&amp;TEXT('Summary'!G6,"0%"))</f>
        <v/>
      </c>
      <c r="G17" s="13" t="n"/>
      <c r="H17" s="13" t="n"/>
    </row>
    <row r="18">
      <c r="A18" s="14" t="n">
        <v>14</v>
      </c>
      <c r="B18" s="14" t="inlineStr">
        <is>
          <t>IO tests</t>
        </is>
      </c>
      <c r="C18" s="14" t="inlineStr">
        <is>
          <t>Analog input loop check (4 IO points)</t>
        </is>
      </c>
      <c r="D18" s="14" t="inlineStr">
        <is>
          <t>100 % OK, see sheet 'AI Loop Check'.</t>
        </is>
      </c>
      <c r="E18" s="14">
        <f>IF('Summary'!B7=0,"N/A",IF('Summary'!G7&gt;=1,"OK",""))</f>
        <v/>
      </c>
      <c r="F18" s="14">
        <f>IF('Summary'!B7=0,"","Complete: "&amp;TEXT('Summary'!G7,"0%"))</f>
        <v/>
      </c>
      <c r="G18" s="13" t="n"/>
      <c r="H18" s="13" t="n"/>
    </row>
    <row r="19">
      <c r="A19" s="14" t="n">
        <v>15</v>
      </c>
      <c r="B19" s="14" t="inlineStr">
        <is>
          <t>IO tests</t>
        </is>
      </c>
      <c r="C19" s="14" t="inlineStr">
        <is>
          <t>Analog output loop check (2 IO points)</t>
        </is>
      </c>
      <c r="D19" s="14" t="inlineStr">
        <is>
          <t>100 % OK, see sheet 'AO Loop Check'.</t>
        </is>
      </c>
      <c r="E19" s="14">
        <f>IF('Summary'!B8=0,"N/A",IF('Summary'!G8&gt;=1,"OK",""))</f>
        <v/>
      </c>
      <c r="F19" s="14">
        <f>IF('Summary'!B8=0,"","Complete: "&amp;TEXT('Summary'!G8,"0%"))</f>
        <v/>
      </c>
      <c r="G19" s="13" t="n"/>
      <c r="H19" s="13" t="n"/>
    </row>
    <row r="20">
      <c r="A20" s="23" t="n">
        <v>16</v>
      </c>
      <c r="B20" s="23" t="inlineStr">
        <is>
          <t>Functions</t>
        </is>
      </c>
      <c r="C20" s="14" t="inlineStr">
        <is>
          <t>Each actuator works in manual mode.</t>
        </is>
      </c>
      <c r="D20" s="14" t="inlineStr">
        <is>
          <t>All manual functions OK.</t>
        </is>
      </c>
      <c r="E20" s="13" t="n"/>
      <c r="F20" s="13" t="n"/>
      <c r="G20" s="13" t="n"/>
      <c r="H20" s="13" t="n"/>
    </row>
    <row r="21">
      <c r="A21" s="14" t="n">
        <v>17</v>
      </c>
      <c r="B21" s="14" t="inlineStr">
        <is>
          <t>Functions</t>
        </is>
      </c>
      <c r="C21" s="14" t="inlineStr">
        <is>
          <t>The automatic sequence runs according to the functional description.</t>
        </is>
      </c>
      <c r="D21" s="14" t="inlineStr">
        <is>
          <t>Each step tested.</t>
        </is>
      </c>
      <c r="E21" s="13" t="n"/>
      <c r="F21" s="13" t="n"/>
      <c r="G21" s="13" t="n"/>
      <c r="H21" s="13" t="n"/>
    </row>
    <row r="22">
      <c r="A22" s="14" t="n">
        <v>18</v>
      </c>
      <c r="B22" s="14" t="inlineStr">
        <is>
          <t>Functions</t>
        </is>
      </c>
      <c r="C22" s="14" t="inlineStr">
        <is>
          <t>Interlocks and permissives work as specified.</t>
        </is>
      </c>
      <c r="D22" s="14" t="inlineStr">
        <is>
          <t>Each interlock tested.</t>
        </is>
      </c>
      <c r="E22" s="13" t="n"/>
      <c r="F22" s="13" t="n"/>
      <c r="G22" s="13" t="n"/>
      <c r="H22" s="13" t="n"/>
    </row>
    <row r="23">
      <c r="A23" s="23" t="n">
        <v>19</v>
      </c>
      <c r="B23" s="23" t="inlineStr">
        <is>
          <t>Alarms and HMI</t>
        </is>
      </c>
      <c r="C23" s="14" t="inlineStr">
        <is>
          <t>Each alarm appears with the correct text and class. Acknowledge and reset work.</t>
        </is>
      </c>
      <c r="D23" s="14" t="inlineStr">
        <is>
          <t>Alarm list checked.</t>
        </is>
      </c>
      <c r="E23" s="13" t="n"/>
      <c r="F23" s="13" t="n"/>
      <c r="G23" s="13" t="n"/>
      <c r="H23" s="13" t="n"/>
    </row>
    <row r="24">
      <c r="A24" s="14" t="n">
        <v>20</v>
      </c>
      <c r="B24" s="14" t="inlineStr">
        <is>
          <t>Alarms and HMI</t>
        </is>
      </c>
      <c r="C24" s="14" t="inlineStr">
        <is>
          <t>HMI screens, navigation and user levels are as specified.</t>
        </is>
      </c>
      <c r="D24" s="14" t="inlineStr">
        <is>
          <t>All screens checked.</t>
        </is>
      </c>
      <c r="E24" s="13" t="n"/>
      <c r="F24" s="13" t="n"/>
      <c r="G24" s="13" t="n"/>
      <c r="H24" s="13" t="n"/>
    </row>
    <row r="25">
      <c r="A25" s="23" t="n">
        <v>21</v>
      </c>
      <c r="B25" s="23" t="inlineStr">
        <is>
          <t>Safety</t>
        </is>
      </c>
      <c r="C25" s="14" t="inlineStr">
        <is>
          <t>Each safety function is tested according to the safety validation plan.</t>
        </is>
      </c>
      <c r="D25" s="14" t="inlineStr">
        <is>
          <t>Validation report signed.</t>
        </is>
      </c>
      <c r="E25" s="13" t="n"/>
      <c r="F25" s="14" t="inlineStr">
        <is>
          <t>Safety-related IO points (marked red): 4</t>
        </is>
      </c>
      <c r="G25" s="13" t="n"/>
      <c r="H25" s="13" t="n"/>
    </row>
    <row r="26">
      <c r="A26" s="14" t="n">
        <v>22</v>
      </c>
      <c r="B26" s="14" t="inlineStr">
        <is>
          <t>Safety</t>
        </is>
      </c>
      <c r="C26" s="14" t="inlineStr">
        <is>
          <t>Emergency stop stops all hazardous motion. Restart needs a manual reset.</t>
        </is>
      </c>
      <c r="D26" s="14" t="inlineStr">
        <is>
          <t>Tested at each E-stop device.</t>
        </is>
      </c>
      <c r="E26" s="13" t="n"/>
      <c r="F26" s="13" t="n"/>
      <c r="G26" s="13" t="n"/>
      <c r="H26" s="13" t="n"/>
    </row>
    <row r="27">
      <c r="A27" s="14" t="n">
        <v>23</v>
      </c>
      <c r="B27" s="14" t="inlineStr">
        <is>
          <t>Safety</t>
        </is>
      </c>
      <c r="C27" s="14" t="inlineStr">
        <is>
          <t>Safety program signature / checksum is recorded.</t>
        </is>
      </c>
      <c r="D27" s="14" t="inlineStr">
        <is>
          <t>Value written in the remarks.</t>
        </is>
      </c>
      <c r="E27" s="13" t="n"/>
      <c r="F27" s="13" t="n"/>
      <c r="G27" s="13" t="n"/>
      <c r="H27" s="13" t="n"/>
    </row>
    <row r="28">
      <c r="A28" s="23" t="n">
        <v>24</v>
      </c>
      <c r="B28" s="23" t="inlineStr">
        <is>
          <t>Drives</t>
        </is>
      </c>
      <c r="C28" s="14" t="inlineStr">
        <is>
          <t>Drive parameters are saved. Motor data and speed scaling are correct.</t>
        </is>
      </c>
      <c r="D28" s="14" t="inlineStr">
        <is>
          <t>Parameter backup available.</t>
        </is>
      </c>
      <c r="E28" s="13" t="n"/>
      <c r="F28" s="13" t="n"/>
      <c r="G28" s="13" t="n"/>
      <c r="H28" s="13" t="n"/>
    </row>
    <row r="29">
      <c r="A29" s="23" t="n">
        <v>25</v>
      </c>
      <c r="B29" s="23" t="inlineStr">
        <is>
          <t>Closure</t>
        </is>
      </c>
      <c r="C29" s="14" t="inlineStr">
        <is>
          <t>Backups of PLC, HMI and drive projects are handed over.</t>
        </is>
      </c>
      <c r="D29" s="14" t="inlineStr">
        <is>
          <t>Backup file names recorded.</t>
        </is>
      </c>
      <c r="E29" s="13" t="n"/>
      <c r="F29" s="13" t="n"/>
      <c r="G29" s="13" t="n"/>
      <c r="H29" s="13" t="n"/>
    </row>
    <row r="30">
      <c r="A30" s="14" t="n">
        <v>26</v>
      </c>
      <c r="B30" s="14" t="inlineStr">
        <is>
          <t>Closure</t>
        </is>
      </c>
      <c r="C30" s="14" t="inlineStr">
        <is>
          <t>The FAT punch list is issued and agreed.</t>
        </is>
      </c>
      <c r="D30" s="14" t="inlineStr">
        <is>
          <t>No open A-items.</t>
        </is>
      </c>
      <c r="E30" s="13" t="n"/>
      <c r="F30" s="13" t="n"/>
      <c r="G30" s="13" t="n"/>
      <c r="H30" s="13" t="n"/>
    </row>
  </sheetData>
  <conditionalFormatting sqref="E5:E30">
    <cfRule type="cellIs" priority="1" operator="equal" dxfId="0">
      <formula>"OK"</formula>
    </cfRule>
    <cfRule type="cellIs" priority="2" operator="equal" dxfId="1">
      <formula>"NOK"</formula>
    </cfRule>
    <cfRule type="cellIs" priority="3" operator="equal" dxfId="2">
      <formula>"N/A"</formula>
    </cfRule>
  </conditionalFormatting>
  <dataValidations count="1">
    <dataValidation sqref="E5:E30" showDropDown="0" showInputMessage="0" showErrorMessage="0" allowBlank="1" type="list">
      <formula1>"OK,NOK,N/A"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&amp;LPackaging Line 3 CP-0001&amp;C&amp;P / &amp;N&amp;RCommissionPack 0.1.0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ySplit="4" topLeftCell="A5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60" customWidth="1" min="3" max="3"/>
    <col width="36" customWidth="1" min="4" max="4"/>
    <col width="9" customWidth="1" min="5" max="5"/>
    <col width="30" customWidth="1" min="6" max="6"/>
    <col width="14" customWidth="1" min="7" max="7"/>
    <col width="12" customWidth="1" min="8" max="8"/>
  </cols>
  <sheetData>
    <row r="1">
      <c r="A1" s="4" t="inlineStr">
        <is>
          <t>SAT Protocol - Packaging Line 3</t>
        </is>
      </c>
    </row>
    <row r="2">
      <c r="A2" s="8" t="inlineStr">
        <is>
          <t>Customer: Sample Customer   |   Machine / Line: Infeed conveyor + hydraulic press   |   Document No.: CP-0001   |   Revision: 0</t>
        </is>
      </c>
    </row>
    <row r="4" ht="32" customHeight="1">
      <c r="A4" s="9" t="inlineStr">
        <is>
          <t>No.</t>
        </is>
      </c>
      <c r="B4" s="9" t="inlineStr">
        <is>
          <t>Section</t>
        </is>
      </c>
      <c r="C4" s="9" t="inlineStr">
        <is>
          <t>Check item</t>
        </is>
      </c>
      <c r="D4" s="9" t="inlineStr">
        <is>
          <t>Acceptance criterion</t>
        </is>
      </c>
      <c r="E4" s="9" t="inlineStr">
        <is>
          <t>Status</t>
        </is>
      </c>
      <c r="F4" s="9" t="inlineStr">
        <is>
          <t>Remarks</t>
        </is>
      </c>
      <c r="G4" s="9" t="inlineStr">
        <is>
          <t>Tested by</t>
        </is>
      </c>
      <c r="H4" s="9" t="inlineStr">
        <is>
          <t>Date</t>
        </is>
      </c>
    </row>
    <row r="5">
      <c r="A5" s="23" t="n">
        <v>1</v>
      </c>
      <c r="B5" s="23" t="inlineStr">
        <is>
          <t>Installation</t>
        </is>
      </c>
      <c r="C5" s="14" t="inlineStr">
        <is>
          <t>Equipment is installed at the final location according to the layout.</t>
        </is>
      </c>
      <c r="D5" s="14" t="inlineStr">
        <is>
          <t>Visual check OK.</t>
        </is>
      </c>
      <c r="E5" s="13" t="n"/>
      <c r="F5" s="13" t="n"/>
      <c r="G5" s="13" t="n"/>
      <c r="H5" s="13" t="n"/>
    </row>
    <row r="6">
      <c r="A6" s="14" t="n">
        <v>2</v>
      </c>
      <c r="B6" s="14" t="inlineStr">
        <is>
          <t>Installation</t>
        </is>
      </c>
      <c r="C6" s="14" t="inlineStr">
        <is>
          <t>Field cables are installed, marked and terminated according to the cable list.</t>
        </is>
      </c>
      <c r="D6" s="14" t="inlineStr">
        <is>
          <t>Cable list checked.</t>
        </is>
      </c>
      <c r="E6" s="13" t="n"/>
      <c r="F6" s="13" t="n"/>
      <c r="G6" s="13" t="n"/>
      <c r="H6" s="13" t="n"/>
    </row>
    <row r="7">
      <c r="A7" s="14" t="n">
        <v>3</v>
      </c>
      <c r="B7" s="14" t="inlineStr">
        <is>
          <t>Installation</t>
        </is>
      </c>
      <c r="C7" s="14" t="inlineStr">
        <is>
          <t>Earthing and equipotential bonding are complete.</t>
        </is>
      </c>
      <c r="D7" s="14" t="inlineStr">
        <is>
          <t>Measured values recorded.</t>
        </is>
      </c>
      <c r="E7" s="13" t="n"/>
      <c r="F7" s="13" t="n"/>
      <c r="G7" s="13" t="n"/>
      <c r="H7" s="13" t="n"/>
    </row>
    <row r="8">
      <c r="A8" s="23" t="n">
        <v>4</v>
      </c>
      <c r="B8" s="23" t="inlineStr">
        <is>
          <t>Pre-commissioning</t>
        </is>
      </c>
      <c r="C8" s="14" t="inlineStr">
        <is>
          <t>Insulation tests of field cables are done.</t>
        </is>
      </c>
      <c r="D8" s="14" t="inlineStr">
        <is>
          <t>Test report attached.</t>
        </is>
      </c>
      <c r="E8" s="13" t="n"/>
      <c r="F8" s="13" t="n"/>
      <c r="G8" s="13" t="n"/>
      <c r="H8" s="13" t="n"/>
    </row>
    <row r="9">
      <c r="A9" s="14" t="n">
        <v>5</v>
      </c>
      <c r="B9" s="14" t="inlineStr">
        <is>
          <t>Pre-commissioning</t>
        </is>
      </c>
      <c r="C9" s="14" t="inlineStr">
        <is>
          <t>FAT punch items are closed or transferred to the SAT punch list.</t>
        </is>
      </c>
      <c r="D9" s="14" t="inlineStr">
        <is>
          <t>No open FAT A-items.</t>
        </is>
      </c>
      <c r="E9" s="13" t="n"/>
      <c r="F9" s="13" t="n"/>
      <c r="G9" s="13" t="n"/>
      <c r="H9" s="13" t="n"/>
    </row>
    <row r="10">
      <c r="A10" s="14" t="n">
        <v>6</v>
      </c>
      <c r="B10" s="14" t="inlineStr">
        <is>
          <t>Pre-commissioning</t>
        </is>
      </c>
      <c r="C10" s="14" t="inlineStr">
        <is>
          <t>The software version on site is the approved FAT version (or changes are documented).</t>
        </is>
      </c>
      <c r="D10" s="14" t="inlineStr">
        <is>
          <t>Version recorded.</t>
        </is>
      </c>
      <c r="E10" s="13" t="n"/>
      <c r="F10" s="13" t="n"/>
      <c r="G10" s="13" t="n"/>
      <c r="H10" s="13" t="n"/>
    </row>
    <row r="11">
      <c r="A11" s="23" t="n">
        <v>7</v>
      </c>
      <c r="B11" s="23" t="inlineStr">
        <is>
          <t>IO tests</t>
        </is>
      </c>
      <c r="C11" s="14" t="inlineStr">
        <is>
          <t>Digital input checkout (20 IO points)</t>
        </is>
      </c>
      <c r="D11" s="14" t="inlineStr">
        <is>
          <t>100 % OK, see sheet 'DI Checkout'.</t>
        </is>
      </c>
      <c r="E11" s="14">
        <f>IF('Summary'!B5=0,"N/A",IF('Summary'!G5&gt;=1,"OK",""))</f>
        <v/>
      </c>
      <c r="F11" s="14">
        <f>IF('Summary'!B5=0,"","Complete: "&amp;TEXT('Summary'!G5,"0%"))</f>
        <v/>
      </c>
      <c r="G11" s="13" t="n"/>
      <c r="H11" s="13" t="n"/>
    </row>
    <row r="12">
      <c r="A12" s="14" t="n">
        <v>8</v>
      </c>
      <c r="B12" s="14" t="inlineStr">
        <is>
          <t>IO tests</t>
        </is>
      </c>
      <c r="C12" s="14" t="inlineStr">
        <is>
          <t>Digital output checkout (9 IO points)</t>
        </is>
      </c>
      <c r="D12" s="14" t="inlineStr">
        <is>
          <t>100 % OK, see sheet 'DO Checkout'.</t>
        </is>
      </c>
      <c r="E12" s="14">
        <f>IF('Summary'!B6=0,"N/A",IF('Summary'!G6&gt;=1,"OK",""))</f>
        <v/>
      </c>
      <c r="F12" s="14">
        <f>IF('Summary'!B6=0,"","Complete: "&amp;TEXT('Summary'!G6,"0%"))</f>
        <v/>
      </c>
      <c r="G12" s="13" t="n"/>
      <c r="H12" s="13" t="n"/>
    </row>
    <row r="13">
      <c r="A13" s="14" t="n">
        <v>9</v>
      </c>
      <c r="B13" s="14" t="inlineStr">
        <is>
          <t>IO tests</t>
        </is>
      </c>
      <c r="C13" s="14" t="inlineStr">
        <is>
          <t>Analog input loop check (4 IO points)</t>
        </is>
      </c>
      <c r="D13" s="14" t="inlineStr">
        <is>
          <t>100 % OK, see sheet 'AI Loop Check'.</t>
        </is>
      </c>
      <c r="E13" s="14">
        <f>IF('Summary'!B7=0,"N/A",IF('Summary'!G7&gt;=1,"OK",""))</f>
        <v/>
      </c>
      <c r="F13" s="14">
        <f>IF('Summary'!B7=0,"","Complete: "&amp;TEXT('Summary'!G7,"0%"))</f>
        <v/>
      </c>
      <c r="G13" s="13" t="n"/>
      <c r="H13" s="13" t="n"/>
    </row>
    <row r="14">
      <c r="A14" s="14" t="n">
        <v>10</v>
      </c>
      <c r="B14" s="14" t="inlineStr">
        <is>
          <t>IO tests</t>
        </is>
      </c>
      <c r="C14" s="14" t="inlineStr">
        <is>
          <t>Analog output loop check (2 IO points)</t>
        </is>
      </c>
      <c r="D14" s="14" t="inlineStr">
        <is>
          <t>100 % OK, see sheet 'AO Loop Check'.</t>
        </is>
      </c>
      <c r="E14" s="14">
        <f>IF('Summary'!B8=0,"N/A",IF('Summary'!G8&gt;=1,"OK",""))</f>
        <v/>
      </c>
      <c r="F14" s="14">
        <f>IF('Summary'!B8=0,"","Complete: "&amp;TEXT('Summary'!G8,"0%"))</f>
        <v/>
      </c>
      <c r="G14" s="13" t="n"/>
      <c r="H14" s="13" t="n"/>
    </row>
    <row r="15">
      <c r="A15" s="23" t="n">
        <v>11</v>
      </c>
      <c r="B15" s="23" t="inlineStr">
        <is>
          <t>Field devices</t>
        </is>
      </c>
      <c r="C15" s="14" t="inlineStr">
        <is>
          <t>Sensor positions and switching points are adjusted on the real process.</t>
        </is>
      </c>
      <c r="D15" s="14" t="inlineStr">
        <is>
          <t>All sensors checked.</t>
        </is>
      </c>
      <c r="E15" s="13" t="n"/>
      <c r="F15" s="13" t="n"/>
      <c r="G15" s="13" t="n"/>
      <c r="H15" s="13" t="n"/>
    </row>
    <row r="16">
      <c r="A16" s="14" t="n">
        <v>12</v>
      </c>
      <c r="B16" s="14" t="inlineStr">
        <is>
          <t>Field devices</t>
        </is>
      </c>
      <c r="C16" s="14" t="inlineStr">
        <is>
          <t>Motor rotation directions are correct on site.</t>
        </is>
      </c>
      <c r="D16" s="14" t="inlineStr">
        <is>
          <t>All motors checked.</t>
        </is>
      </c>
      <c r="E16" s="13" t="n"/>
      <c r="F16" s="13" t="n"/>
      <c r="G16" s="13" t="n"/>
      <c r="H16" s="13" t="n"/>
    </row>
    <row r="17">
      <c r="A17" s="14" t="n">
        <v>13</v>
      </c>
      <c r="B17" s="14" t="inlineStr">
        <is>
          <t>Field devices</t>
        </is>
      </c>
      <c r="C17" s="14" t="inlineStr">
        <is>
          <t>Instruments are calibrated. Certificates are available.</t>
        </is>
      </c>
      <c r="D17" s="14" t="inlineStr">
        <is>
          <t>Certificates attached.</t>
        </is>
      </c>
      <c r="E17" s="13" t="n"/>
      <c r="F17" s="13" t="n"/>
      <c r="G17" s="13" t="n"/>
      <c r="H17" s="13" t="n"/>
    </row>
    <row r="18">
      <c r="A18" s="23" t="n">
        <v>14</v>
      </c>
      <c r="B18" s="23" t="inlineStr">
        <is>
          <t>Process functions</t>
        </is>
      </c>
      <c r="C18" s="14" t="inlineStr">
        <is>
          <t>The automatic run works with real product / material.</t>
        </is>
      </c>
      <c r="D18" s="14" t="inlineStr">
        <is>
          <t>Run without critical fault.</t>
        </is>
      </c>
      <c r="E18" s="13" t="n"/>
      <c r="F18" s="13" t="n"/>
      <c r="G18" s="13" t="n"/>
      <c r="H18" s="13" t="n"/>
    </row>
    <row r="19">
      <c r="A19" s="14" t="n">
        <v>15</v>
      </c>
      <c r="B19" s="14" t="inlineStr">
        <is>
          <t>Process functions</t>
        </is>
      </c>
      <c r="C19" s="14" t="inlineStr">
        <is>
          <t>Interfaces to other machines and site systems are tested (signals, PROFINET, OPC UA).</t>
        </is>
      </c>
      <c r="D19" s="14" t="inlineStr">
        <is>
          <t>Interface list checked.</t>
        </is>
      </c>
      <c r="E19" s="13" t="n"/>
      <c r="F19" s="13" t="n"/>
      <c r="G19" s="13" t="n"/>
      <c r="H19" s="13" t="n"/>
    </row>
    <row r="20">
      <c r="A20" s="23" t="n">
        <v>16</v>
      </c>
      <c r="B20" s="23" t="inlineStr">
        <is>
          <t>Safety</t>
        </is>
      </c>
      <c r="C20" s="14" t="inlineStr">
        <is>
          <t>Safety functions are validated on site. Guards, doors and light curtains are tested in the final position.</t>
        </is>
      </c>
      <c r="D20" s="14" t="inlineStr">
        <is>
          <t>Validation report signed.</t>
        </is>
      </c>
      <c r="E20" s="13" t="n"/>
      <c r="F20" s="13" t="n"/>
      <c r="G20" s="13" t="n"/>
      <c r="H20" s="13" t="n"/>
    </row>
    <row r="21">
      <c r="A21" s="23" t="n">
        <v>17</v>
      </c>
      <c r="B21" s="23" t="inlineStr">
        <is>
          <t>Performance</t>
        </is>
      </c>
      <c r="C21" s="14" t="inlineStr">
        <is>
          <t>Capacity / cycle time test: target and measured values.</t>
        </is>
      </c>
      <c r="D21" s="14" t="inlineStr">
        <is>
          <t>Measured &gt;= target.</t>
        </is>
      </c>
      <c r="E21" s="13" t="n"/>
      <c r="F21" s="13" t="n"/>
      <c r="G21" s="13" t="n"/>
      <c r="H21" s="13" t="n"/>
    </row>
    <row r="22">
      <c r="A22" s="14" t="n">
        <v>18</v>
      </c>
      <c r="B22" s="14" t="inlineStr">
        <is>
          <t>Performance</t>
        </is>
      </c>
      <c r="C22" s="14" t="inlineStr">
        <is>
          <t>Continuous run test (agreed duration, e.g. 24 h / 72 h).</t>
        </is>
      </c>
      <c r="D22" s="14" t="inlineStr">
        <is>
          <t>No critical fault during the test.</t>
        </is>
      </c>
      <c r="E22" s="13" t="n"/>
      <c r="F22" s="13" t="n"/>
      <c r="G22" s="13" t="n"/>
      <c r="H22" s="13" t="n"/>
    </row>
    <row r="23">
      <c r="A23" s="23" t="n">
        <v>19</v>
      </c>
      <c r="B23" s="23" t="inlineStr">
        <is>
          <t>Handover</t>
        </is>
      </c>
      <c r="C23" s="14" t="inlineStr">
        <is>
          <t>Operator and maintenance training is done.</t>
        </is>
      </c>
      <c r="D23" s="14" t="inlineStr">
        <is>
          <t>Attendance list signed.</t>
        </is>
      </c>
      <c r="E23" s="13" t="n"/>
      <c r="F23" s="13" t="n"/>
      <c r="G23" s="13" t="n"/>
      <c r="H23" s="13" t="n"/>
    </row>
    <row r="24">
      <c r="A24" s="14" t="n">
        <v>20</v>
      </c>
      <c r="B24" s="14" t="inlineStr">
        <is>
          <t>Handover</t>
        </is>
      </c>
      <c r="C24" s="14" t="inlineStr">
        <is>
          <t>As-built drawings, manuals and software backups are handed over.</t>
        </is>
      </c>
      <c r="D24" s="14" t="inlineStr">
        <is>
          <t>Handover list signed.</t>
        </is>
      </c>
      <c r="E24" s="13" t="n"/>
      <c r="F24" s="13" t="n"/>
      <c r="G24" s="13" t="n"/>
      <c r="H24" s="13" t="n"/>
    </row>
  </sheetData>
  <conditionalFormatting sqref="E5:E24">
    <cfRule type="cellIs" priority="1" operator="equal" dxfId="0">
      <formula>"OK"</formula>
    </cfRule>
    <cfRule type="cellIs" priority="2" operator="equal" dxfId="1">
      <formula>"NOK"</formula>
    </cfRule>
    <cfRule type="cellIs" priority="3" operator="equal" dxfId="2">
      <formula>"N/A"</formula>
    </cfRule>
  </conditionalFormatting>
  <dataValidations count="1">
    <dataValidation sqref="E5:E24" showDropDown="0" showInputMessage="0" showErrorMessage="0" allowBlank="1" type="list">
      <formula1>"OK,NOK,N/A"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&amp;LPackaging Line 3 CP-0001&amp;C&amp;P / &amp;N&amp;RCommissionPack 0.1.0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6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60" customWidth="1" min="3" max="3"/>
    <col width="14" customWidth="1" min="4" max="4"/>
    <col width="16" customWidth="1" min="5" max="5"/>
    <col width="12" customWidth="1" min="6" max="6"/>
    <col width="12" customWidth="1" min="7" max="7"/>
    <col width="26" customWidth="1" min="8" max="8"/>
    <col width="10" customWidth="1" min="9" max="9"/>
    <col width="12" customWidth="1" min="10" max="10"/>
  </cols>
  <sheetData>
    <row r="1">
      <c r="A1" s="4" t="inlineStr">
        <is>
          <t>Punch List - Packaging Line 3</t>
        </is>
      </c>
    </row>
    <row r="2">
      <c r="A2" s="8" t="inlineStr">
        <is>
          <t>Customer: Sample Customer   |   Machine / Line: Infeed conveyor + hydraulic press   |   Document No.: CP-0001   |   Revision: 0</t>
        </is>
      </c>
    </row>
    <row r="4" ht="32" customHeight="1">
      <c r="A4" s="9" t="inlineStr">
        <is>
          <t>No.</t>
        </is>
      </c>
      <c r="B4" s="9" t="inlineStr">
        <is>
          <t>Reference</t>
        </is>
      </c>
      <c r="C4" s="9" t="inlineStr">
        <is>
          <t>Description</t>
        </is>
      </c>
      <c r="D4" s="9" t="inlineStr">
        <is>
          <t>Location</t>
        </is>
      </c>
      <c r="E4" s="9" t="inlineStr">
        <is>
          <t>Responsible</t>
        </is>
      </c>
      <c r="F4" s="9" t="inlineStr">
        <is>
          <t>Category (A/B/C)</t>
        </is>
      </c>
      <c r="G4" s="9" t="inlineStr">
        <is>
          <t>Due date</t>
        </is>
      </c>
      <c r="H4" s="9" t="inlineStr">
        <is>
          <t>Remarks</t>
        </is>
      </c>
      <c r="I4" s="9" t="inlineStr">
        <is>
          <t>Status</t>
        </is>
      </c>
      <c r="J4" s="9" t="inlineStr">
        <is>
          <t>Closed on</t>
        </is>
      </c>
    </row>
    <row r="5">
      <c r="A5" s="8" t="inlineStr">
        <is>
          <t>A = must be closed before acceptance. B = close before handover. C = improvement, no effect on acceptance.</t>
        </is>
      </c>
    </row>
    <row r="6">
      <c r="A6" s="14" t="n">
        <v>1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</row>
    <row r="7">
      <c r="A7" s="14" t="n">
        <v>2</v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</row>
    <row r="8">
      <c r="A8" s="14" t="n">
        <v>3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>
      <c r="A9" s="14" t="n">
        <v>4</v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</row>
    <row r="10">
      <c r="A10" s="14" t="n">
        <v>5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</row>
    <row r="11">
      <c r="A11" s="14" t="n">
        <v>6</v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>
      <c r="A12" s="14" t="n">
        <v>7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>
      <c r="A13" s="14" t="n">
        <v>8</v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>
      <c r="A14" s="14" t="n">
        <v>9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>
      <c r="A15" s="14" t="n">
        <v>10</v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>
      <c r="A16" s="14" t="n">
        <v>11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>
      <c r="A17" s="14" t="n">
        <v>12</v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>
      <c r="A18" s="14" t="n">
        <v>13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>
      <c r="A19" s="14" t="n">
        <v>14</v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>
      <c r="A20" s="14" t="n">
        <v>15</v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>
      <c r="A21" s="14" t="n">
        <v>16</v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>
      <c r="A22" s="14" t="n">
        <v>17</v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>
      <c r="A23" s="14" t="n">
        <v>18</v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>
      <c r="A24" s="14" t="n">
        <v>19</v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>
      <c r="A25" s="14" t="n">
        <v>20</v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>
      <c r="A26" s="14" t="n">
        <v>21</v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>
      <c r="A27" s="14" t="n">
        <v>22</v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>
      <c r="A28" s="14" t="n">
        <v>23</v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>
      <c r="A29" s="14" t="n">
        <v>24</v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>
      <c r="A30" s="14" t="n">
        <v>25</v>
      </c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>
      <c r="A31" s="14" t="n">
        <v>26</v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>
      <c r="A32" s="14" t="n">
        <v>27</v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>
      <c r="A33" s="14" t="n">
        <v>28</v>
      </c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>
      <c r="A34" s="14" t="n">
        <v>29</v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>
      <c r="A35" s="14" t="n">
        <v>30</v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>
      <c r="A36" s="14" t="n">
        <v>31</v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>
      <c r="A37" s="14" t="n">
        <v>32</v>
      </c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>
      <c r="A38" s="14" t="n">
        <v>33</v>
      </c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</row>
    <row r="39">
      <c r="A39" s="14" t="n">
        <v>34</v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</row>
    <row r="40">
      <c r="A40" s="14" t="n">
        <v>35</v>
      </c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</row>
    <row r="41">
      <c r="A41" s="14" t="n">
        <v>36</v>
      </c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</row>
    <row r="42">
      <c r="A42" s="14" t="n">
        <v>37</v>
      </c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</row>
    <row r="43">
      <c r="A43" s="14" t="n">
        <v>38</v>
      </c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</row>
    <row r="44">
      <c r="A44" s="14" t="n">
        <v>39</v>
      </c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</row>
    <row r="45">
      <c r="A45" s="14" t="n">
        <v>40</v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>
      <c r="A46" s="14" t="n">
        <v>41</v>
      </c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</row>
    <row r="47">
      <c r="A47" s="14" t="n">
        <v>42</v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</row>
    <row r="48">
      <c r="A48" s="14" t="n">
        <v>43</v>
      </c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</row>
    <row r="49">
      <c r="A49" s="14" t="n">
        <v>44</v>
      </c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</row>
    <row r="50">
      <c r="A50" s="14" t="n">
        <v>45</v>
      </c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</row>
    <row r="51">
      <c r="A51" s="14" t="n">
        <v>46</v>
      </c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</row>
    <row r="52">
      <c r="A52" s="14" t="n">
        <v>47</v>
      </c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</row>
    <row r="53">
      <c r="A53" s="14" t="n">
        <v>48</v>
      </c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</row>
    <row r="54">
      <c r="A54" s="14" t="n">
        <v>49</v>
      </c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</row>
    <row r="55">
      <c r="A55" s="14" t="n">
        <v>50</v>
      </c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</row>
    <row r="56">
      <c r="A56" s="14" t="n">
        <v>51</v>
      </c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</row>
    <row r="57">
      <c r="A57" s="14" t="n">
        <v>52</v>
      </c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</row>
    <row r="58">
      <c r="A58" s="14" t="n">
        <v>53</v>
      </c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</row>
    <row r="59">
      <c r="A59" s="14" t="n">
        <v>54</v>
      </c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</row>
    <row r="60">
      <c r="A60" s="14" t="n">
        <v>55</v>
      </c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</row>
    <row r="61">
      <c r="A61" s="14" t="n">
        <v>56</v>
      </c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</row>
    <row r="62">
      <c r="A62" s="14" t="n">
        <v>57</v>
      </c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</row>
    <row r="63">
      <c r="A63" s="14" t="n">
        <v>58</v>
      </c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</row>
    <row r="64">
      <c r="A64" s="14" t="n">
        <v>59</v>
      </c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</row>
    <row r="65">
      <c r="A65" s="14" t="n">
        <v>60</v>
      </c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</row>
  </sheetData>
  <conditionalFormatting sqref="I6:I65">
    <cfRule type="cellIs" priority="1" operator="equal" dxfId="1">
      <formula>"OPEN"</formula>
    </cfRule>
    <cfRule type="cellIs" priority="2" operator="equal" dxfId="0">
      <formula>"CLOSED"</formula>
    </cfRule>
  </conditionalFormatting>
  <dataValidations count="2">
    <dataValidation sqref="F6:F65" showDropDown="0" showInputMessage="0" showErrorMessage="0" allowBlank="1" type="list">
      <formula1>"A,B,C"</formula1>
    </dataValidation>
    <dataValidation sqref="I6:I65" showDropDown="0" showInputMessage="0" showErrorMessage="0" allowBlank="1" type="list">
      <formula1>"OPEN,CLOSED"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&amp;LPackaging Line 3 CP-0001&amp;C&amp;P / &amp;N&amp;RCommissionPack 0.1.0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6" customWidth="1" min="4" max="4"/>
    <col width="14" customWidth="1" min="5" max="5"/>
  </cols>
  <sheetData>
    <row r="1">
      <c r="A1" s="4" t="inlineStr">
        <is>
          <t>Sign-off - Packaging Line 3</t>
        </is>
      </c>
    </row>
    <row r="2">
      <c r="A2" s="8" t="inlineStr">
        <is>
          <t>Customer: Sample Customer   |   Machine / Line: Infeed conveyor + hydraulic press   |   Document No.: CP-0001   |   Revision: 0</t>
        </is>
      </c>
    </row>
    <row r="4">
      <c r="A4" s="4" t="inlineStr">
        <is>
          <t>FAT Protocol</t>
        </is>
      </c>
    </row>
    <row r="5">
      <c r="A5" s="5" t="inlineStr">
        <is>
          <t>Acceptance decision:</t>
        </is>
      </c>
      <c r="B5" t="inlineStr">
        <is>
          <t>[ ] Accepted   [ ] Accepted with punch items (A-items = 0)   [ ] Not accepted</t>
        </is>
      </c>
    </row>
    <row r="6">
      <c r="A6" s="9" t="inlineStr">
        <is>
          <t>Role</t>
        </is>
      </c>
      <c r="B6" s="9" t="inlineStr">
        <is>
          <t>Company</t>
        </is>
      </c>
      <c r="C6" s="9" t="inlineStr">
        <is>
          <t>Name</t>
        </is>
      </c>
      <c r="D6" s="9" t="inlineStr">
        <is>
          <t>Signature</t>
        </is>
      </c>
      <c r="E6" s="9" t="inlineStr">
        <is>
          <t>Date</t>
        </is>
      </c>
    </row>
    <row r="7" ht="36" customHeight="1">
      <c r="A7" s="3" t="inlineStr">
        <is>
          <t>Supplier / Integrator</t>
        </is>
      </c>
      <c r="B7" s="24" t="n"/>
      <c r="C7" s="24" t="n"/>
      <c r="D7" s="24" t="n"/>
      <c r="E7" s="24" t="n"/>
    </row>
    <row r="8" ht="36" customHeight="1">
      <c r="A8" s="3" t="inlineStr">
        <is>
          <t>Customer representative</t>
        </is>
      </c>
      <c r="B8" s="24" t="n"/>
      <c r="C8" s="24" t="n"/>
      <c r="D8" s="24" t="n"/>
      <c r="E8" s="24" t="n"/>
    </row>
    <row r="9" ht="36" customHeight="1">
      <c r="A9" s="3" t="inlineStr">
        <is>
          <t>Third party (optional)</t>
        </is>
      </c>
      <c r="B9" s="24" t="n"/>
      <c r="C9" s="24" t="n"/>
      <c r="D9" s="24" t="n"/>
      <c r="E9" s="24" t="n"/>
    </row>
    <row r="12">
      <c r="A12" s="4" t="inlineStr">
        <is>
          <t>SAT Protocol</t>
        </is>
      </c>
    </row>
    <row r="13">
      <c r="A13" s="5" t="inlineStr">
        <is>
          <t>Acceptance decision:</t>
        </is>
      </c>
      <c r="B13" t="inlineStr">
        <is>
          <t>[ ] Accepted   [ ] Accepted with punch items (A-items = 0)   [ ] Not accepted</t>
        </is>
      </c>
    </row>
    <row r="14">
      <c r="A14" s="9" t="inlineStr">
        <is>
          <t>Role</t>
        </is>
      </c>
      <c r="B14" s="9" t="inlineStr">
        <is>
          <t>Company</t>
        </is>
      </c>
      <c r="C14" s="9" t="inlineStr">
        <is>
          <t>Name</t>
        </is>
      </c>
      <c r="D14" s="9" t="inlineStr">
        <is>
          <t>Signature</t>
        </is>
      </c>
      <c r="E14" s="9" t="inlineStr">
        <is>
          <t>Date</t>
        </is>
      </c>
    </row>
    <row r="15" ht="36" customHeight="1">
      <c r="A15" s="3" t="inlineStr">
        <is>
          <t>Supplier / Integrator</t>
        </is>
      </c>
      <c r="B15" s="24" t="n"/>
      <c r="C15" s="24" t="n"/>
      <c r="D15" s="24" t="n"/>
      <c r="E15" s="24" t="n"/>
    </row>
    <row r="16" ht="36" customHeight="1">
      <c r="A16" s="3" t="inlineStr">
        <is>
          <t>Customer representative</t>
        </is>
      </c>
      <c r="B16" s="24" t="n"/>
      <c r="C16" s="24" t="n"/>
      <c r="D16" s="24" t="n"/>
      <c r="E16" s="24" t="n"/>
    </row>
    <row r="17" ht="36" customHeight="1">
      <c r="A17" s="3" t="inlineStr">
        <is>
          <t>Third party (optional)</t>
        </is>
      </c>
      <c r="B17" s="24" t="n"/>
      <c r="C17" s="24" t="n"/>
      <c r="D17" s="24" t="n"/>
      <c r="E17" s="24" t="n"/>
    </row>
  </sheetData>
  <pageMargins left="0.75" right="0.75" top="1" bottom="1" header="0.5" footer="0.5"/>
  <pageSetup orientation="landscape" paperSize="9" fitToHeight="0" fitToWidth="1"/>
  <headerFooter>
    <oddHeader/>
    <oddFooter>&amp;LPackaging Line 3 CP-0001&amp;C&amp;P / &amp;N&amp;RCommissionPack 0.1.0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CommissionPack 0.1.0</dc:creator>
  <dc:title xmlns:dc="http://purl.org/dc/elements/1.1/">Commissioning Document Package</dc:title>
  <dcterms:created xmlns:dcterms="http://purl.org/dc/terms/" xmlns:xsi="http://www.w3.org/2001/XMLSchema-instance" xsi:type="dcterms:W3CDTF">2026-10-08T12:53:38Z</dcterms:created>
  <dcterms:modified xmlns:dcterms="http://purl.org/dc/terms/" xmlns:xsi="http://www.w3.org/2001/XMLSchema-instance" xsi:type="dcterms:W3CDTF">2026-10-08T12:53:38Z</dcterms:modified>
</cp:coreProperties>
</file>